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andagua\Downloads\Entel\CLUB POWER VERANO_2026\STEAMLIT_DASH_CP\"/>
    </mc:Choice>
  </mc:AlternateContent>
  <xr:revisionPtr revIDLastSave="0" documentId="8_{7C79185B-5E80-4F80-A077-6C7B56E034BC}" xr6:coauthVersionLast="47" xr6:coauthVersionMax="47" xr10:uidLastSave="{00000000-0000-0000-0000-000000000000}"/>
  <bookViews>
    <workbookView xWindow="-108" yWindow="-108" windowWidth="23256" windowHeight="12576" xr2:uid="{737A946D-68F9-41CD-956C-3F68ECF7329B}"/>
  </bookViews>
  <sheets>
    <sheet name="Hoj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12" i="1" l="1"/>
  <c r="AO212" i="1"/>
  <c r="AQ212" i="1" s="1"/>
  <c r="Z212" i="1"/>
  <c r="AB212" i="1" s="1"/>
  <c r="AD212" i="1" s="1"/>
  <c r="Y212" i="1"/>
  <c r="AA212" i="1" s="1"/>
  <c r="W212" i="1"/>
  <c r="S212" i="1"/>
  <c r="P212" i="1"/>
  <c r="X212" i="1" s="1"/>
  <c r="N212" i="1"/>
  <c r="J212" i="1"/>
  <c r="I212" i="1"/>
  <c r="AP211" i="1"/>
  <c r="AO211" i="1"/>
  <c r="AQ211" i="1" s="1"/>
  <c r="AG211" i="1"/>
  <c r="Z211" i="1"/>
  <c r="AI211" i="1" s="1"/>
  <c r="AK211" i="1" s="1"/>
  <c r="Y211" i="1"/>
  <c r="AA211" i="1" s="1"/>
  <c r="W211" i="1"/>
  <c r="U211" i="1"/>
  <c r="S211" i="1"/>
  <c r="P211" i="1"/>
  <c r="X211" i="1" s="1"/>
  <c r="N211" i="1"/>
  <c r="J211" i="1"/>
  <c r="K211" i="1" s="1"/>
  <c r="I211" i="1"/>
  <c r="AP210" i="1"/>
  <c r="AO210" i="1"/>
  <c r="AQ210" i="1" s="1"/>
  <c r="Z210" i="1"/>
  <c r="AI210" i="1" s="1"/>
  <c r="AK210" i="1" s="1"/>
  <c r="Y210" i="1"/>
  <c r="AH210" i="1" s="1"/>
  <c r="X210" i="1"/>
  <c r="W210" i="1"/>
  <c r="S210" i="1"/>
  <c r="P210" i="1"/>
  <c r="T210" i="1" s="1"/>
  <c r="N210" i="1"/>
  <c r="J210" i="1"/>
  <c r="K210" i="1" s="1"/>
  <c r="I210" i="1"/>
  <c r="AP209" i="1"/>
  <c r="AO209" i="1"/>
  <c r="AQ209" i="1" s="1"/>
  <c r="Z209" i="1"/>
  <c r="AB209" i="1" s="1"/>
  <c r="AD209" i="1" s="1"/>
  <c r="Y209" i="1"/>
  <c r="X209" i="1"/>
  <c r="W209" i="1"/>
  <c r="T209" i="1"/>
  <c r="S209" i="1"/>
  <c r="P209" i="1"/>
  <c r="N209" i="1"/>
  <c r="J209" i="1"/>
  <c r="K209" i="1" s="1"/>
  <c r="I209" i="1"/>
  <c r="AP208" i="1"/>
  <c r="AO208" i="1"/>
  <c r="AQ208" i="1" s="1"/>
  <c r="AB208" i="1"/>
  <c r="AD208" i="1" s="1"/>
  <c r="Z208" i="1"/>
  <c r="AI208" i="1" s="1"/>
  <c r="AK208" i="1" s="1"/>
  <c r="Y208" i="1"/>
  <c r="W208" i="1"/>
  <c r="U208" i="1"/>
  <c r="S208" i="1"/>
  <c r="P208" i="1"/>
  <c r="N208" i="1"/>
  <c r="J208" i="1"/>
  <c r="K208" i="1" s="1"/>
  <c r="I208" i="1"/>
  <c r="AP207" i="1"/>
  <c r="AO207" i="1"/>
  <c r="AQ207" i="1" s="1"/>
  <c r="AK207" i="1"/>
  <c r="Z207" i="1"/>
  <c r="AI207" i="1" s="1"/>
  <c r="Y207" i="1"/>
  <c r="X207" i="1"/>
  <c r="W207" i="1"/>
  <c r="T207" i="1"/>
  <c r="S207" i="1"/>
  <c r="N207" i="1"/>
  <c r="I207" i="1"/>
  <c r="J207" i="1" s="1"/>
  <c r="K207" i="1" s="1"/>
  <c r="AQ206" i="1"/>
  <c r="AP206" i="1"/>
  <c r="AO206" i="1"/>
  <c r="AK206" i="1"/>
  <c r="AI206" i="1"/>
  <c r="AB206" i="1"/>
  <c r="AD206" i="1" s="1"/>
  <c r="Z206" i="1"/>
  <c r="Y206" i="1"/>
  <c r="AA206" i="1" s="1"/>
  <c r="X206" i="1"/>
  <c r="W206" i="1"/>
  <c r="T206" i="1"/>
  <c r="S206" i="1"/>
  <c r="N206" i="1"/>
  <c r="I206" i="1"/>
  <c r="J206" i="1" s="1"/>
  <c r="AQ205" i="1"/>
  <c r="AP205" i="1"/>
  <c r="AO205" i="1"/>
  <c r="AI205" i="1"/>
  <c r="AK205" i="1" s="1"/>
  <c r="AA205" i="1"/>
  <c r="Z205" i="1"/>
  <c r="AB205" i="1" s="1"/>
  <c r="AD205" i="1" s="1"/>
  <c r="Y205" i="1"/>
  <c r="AH205" i="1" s="1"/>
  <c r="W205" i="1"/>
  <c r="T205" i="1"/>
  <c r="S205" i="1"/>
  <c r="P205" i="1"/>
  <c r="X205" i="1" s="1"/>
  <c r="N205" i="1"/>
  <c r="J205" i="1"/>
  <c r="I205" i="1"/>
  <c r="AQ204" i="1"/>
  <c r="AP204" i="1"/>
  <c r="AO204" i="1"/>
  <c r="AI204" i="1"/>
  <c r="AH204" i="1"/>
  <c r="AB204" i="1"/>
  <c r="AD204" i="1" s="1"/>
  <c r="AA204" i="1"/>
  <c r="Z204" i="1"/>
  <c r="Y204" i="1"/>
  <c r="W204" i="1"/>
  <c r="U204" i="1"/>
  <c r="S204" i="1"/>
  <c r="P204" i="1"/>
  <c r="N204" i="1"/>
  <c r="J204" i="1"/>
  <c r="I204" i="1"/>
  <c r="AP203" i="1"/>
  <c r="AQ203" i="1" s="1"/>
  <c r="AO203" i="1"/>
  <c r="AM203" i="1"/>
  <c r="AI203" i="1"/>
  <c r="AK203" i="1" s="1"/>
  <c r="AH203" i="1"/>
  <c r="AN203" i="1" s="1"/>
  <c r="AG203" i="1"/>
  <c r="AD203" i="1"/>
  <c r="AB203" i="1"/>
  <c r="AA203" i="1"/>
  <c r="Z203" i="1"/>
  <c r="Y203" i="1"/>
  <c r="X203" i="1"/>
  <c r="W203" i="1"/>
  <c r="U203" i="1"/>
  <c r="T203" i="1"/>
  <c r="S203" i="1"/>
  <c r="Q203" i="1"/>
  <c r="P203" i="1"/>
  <c r="N203" i="1"/>
  <c r="I203" i="1"/>
  <c r="J203" i="1" s="1"/>
  <c r="K203" i="1" s="1"/>
  <c r="V203" i="1" s="1"/>
  <c r="AQ202" i="1"/>
  <c r="AP202" i="1"/>
  <c r="AO202" i="1"/>
  <c r="Z202" i="1"/>
  <c r="AB202" i="1" s="1"/>
  <c r="AD202" i="1" s="1"/>
  <c r="Y202" i="1"/>
  <c r="AH202" i="1" s="1"/>
  <c r="W202" i="1"/>
  <c r="T202" i="1"/>
  <c r="S202" i="1"/>
  <c r="P202" i="1"/>
  <c r="X202" i="1" s="1"/>
  <c r="N202" i="1"/>
  <c r="J202" i="1"/>
  <c r="U202" i="1" s="1"/>
  <c r="I202" i="1"/>
  <c r="AQ201" i="1"/>
  <c r="AP201" i="1"/>
  <c r="AO201" i="1"/>
  <c r="AI201" i="1"/>
  <c r="AK201" i="1" s="1"/>
  <c r="AB201" i="1"/>
  <c r="AD201" i="1" s="1"/>
  <c r="Z201" i="1"/>
  <c r="Y201" i="1"/>
  <c r="AA201" i="1" s="1"/>
  <c r="W201" i="1"/>
  <c r="U201" i="1"/>
  <c r="S201" i="1"/>
  <c r="P201" i="1"/>
  <c r="N201" i="1"/>
  <c r="J201" i="1"/>
  <c r="I201" i="1"/>
  <c r="AQ200" i="1"/>
  <c r="AP200" i="1"/>
  <c r="AO200" i="1"/>
  <c r="AI200" i="1"/>
  <c r="AK200" i="1" s="1"/>
  <c r="AD200" i="1"/>
  <c r="AA200" i="1"/>
  <c r="Z200" i="1"/>
  <c r="AB200" i="1" s="1"/>
  <c r="Y200" i="1"/>
  <c r="AH200" i="1" s="1"/>
  <c r="X200" i="1"/>
  <c r="W200" i="1"/>
  <c r="T200" i="1"/>
  <c r="S200" i="1"/>
  <c r="P200" i="1"/>
  <c r="N200" i="1"/>
  <c r="I200" i="1"/>
  <c r="J200" i="1" s="1"/>
  <c r="AP199" i="1"/>
  <c r="AO199" i="1"/>
  <c r="AQ199" i="1" s="1"/>
  <c r="Z199" i="1"/>
  <c r="AB199" i="1" s="1"/>
  <c r="AD199" i="1" s="1"/>
  <c r="Y199" i="1"/>
  <c r="W199" i="1"/>
  <c r="U199" i="1"/>
  <c r="T199" i="1"/>
  <c r="S199" i="1"/>
  <c r="Q199" i="1"/>
  <c r="P199" i="1"/>
  <c r="X199" i="1" s="1"/>
  <c r="N199" i="1"/>
  <c r="K199" i="1"/>
  <c r="R199" i="1" s="1"/>
  <c r="J199" i="1"/>
  <c r="I199" i="1"/>
  <c r="AP198" i="1"/>
  <c r="AQ198" i="1" s="1"/>
  <c r="AO198" i="1"/>
  <c r="AI198" i="1"/>
  <c r="AK198" i="1" s="1"/>
  <c r="AB198" i="1"/>
  <c r="AD198" i="1" s="1"/>
  <c r="AA198" i="1"/>
  <c r="Z198" i="1"/>
  <c r="Y198" i="1"/>
  <c r="AH198" i="1" s="1"/>
  <c r="X198" i="1"/>
  <c r="W198" i="1"/>
  <c r="V198" i="1"/>
  <c r="T198" i="1"/>
  <c r="S198" i="1"/>
  <c r="N198" i="1"/>
  <c r="K198" i="1"/>
  <c r="R198" i="1" s="1"/>
  <c r="I198" i="1"/>
  <c r="J198" i="1" s="1"/>
  <c r="AP197" i="1"/>
  <c r="AO197" i="1"/>
  <c r="AQ197" i="1" s="1"/>
  <c r="Z197" i="1"/>
  <c r="AI197" i="1" s="1"/>
  <c r="AK197" i="1" s="1"/>
  <c r="Y197" i="1"/>
  <c r="W197" i="1"/>
  <c r="S197" i="1"/>
  <c r="P197" i="1"/>
  <c r="T197" i="1" s="1"/>
  <c r="N197" i="1"/>
  <c r="J197" i="1"/>
  <c r="I197" i="1"/>
  <c r="AP196" i="1"/>
  <c r="AO196" i="1"/>
  <c r="AQ196" i="1" s="1"/>
  <c r="AK196" i="1"/>
  <c r="AH196" i="1"/>
  <c r="AB196" i="1"/>
  <c r="Z196" i="1"/>
  <c r="AI196" i="1" s="1"/>
  <c r="Y196" i="1"/>
  <c r="AA196" i="1" s="1"/>
  <c r="X196" i="1"/>
  <c r="W196" i="1"/>
  <c r="S196" i="1"/>
  <c r="P196" i="1"/>
  <c r="T196" i="1" s="1"/>
  <c r="N196" i="1"/>
  <c r="I196" i="1"/>
  <c r="J196" i="1" s="1"/>
  <c r="AP195" i="1"/>
  <c r="AO195" i="1"/>
  <c r="AH195" i="1"/>
  <c r="AB195" i="1"/>
  <c r="AD195" i="1" s="1"/>
  <c r="Z195" i="1"/>
  <c r="AI195" i="1" s="1"/>
  <c r="Y195" i="1"/>
  <c r="AA195" i="1" s="1"/>
  <c r="W195" i="1"/>
  <c r="S195" i="1"/>
  <c r="Q195" i="1"/>
  <c r="P195" i="1"/>
  <c r="N195" i="1"/>
  <c r="K195" i="1"/>
  <c r="R195" i="1" s="1"/>
  <c r="J195" i="1"/>
  <c r="AJ195" i="1" s="1"/>
  <c r="I195" i="1"/>
  <c r="AP194" i="1"/>
  <c r="AO194" i="1"/>
  <c r="AI194" i="1"/>
  <c r="AK194" i="1" s="1"/>
  <c r="AH194" i="1"/>
  <c r="AB194" i="1"/>
  <c r="Z194" i="1"/>
  <c r="Y194" i="1"/>
  <c r="AA194" i="1" s="1"/>
  <c r="X194" i="1"/>
  <c r="W194" i="1"/>
  <c r="U194" i="1"/>
  <c r="T194" i="1"/>
  <c r="S194" i="1"/>
  <c r="P194" i="1"/>
  <c r="N194" i="1"/>
  <c r="I194" i="1"/>
  <c r="J194" i="1" s="1"/>
  <c r="AP193" i="1"/>
  <c r="AO193" i="1"/>
  <c r="AQ193" i="1" s="1"/>
  <c r="Z193" i="1"/>
  <c r="Y193" i="1"/>
  <c r="W193" i="1"/>
  <c r="T193" i="1"/>
  <c r="S193" i="1"/>
  <c r="P193" i="1"/>
  <c r="X193" i="1" s="1"/>
  <c r="N193" i="1"/>
  <c r="J193" i="1"/>
  <c r="I193" i="1"/>
  <c r="AP192" i="1"/>
  <c r="AO192" i="1"/>
  <c r="AD192" i="1"/>
  <c r="AB192" i="1"/>
  <c r="Z192" i="1"/>
  <c r="AI192" i="1" s="1"/>
  <c r="AK192" i="1" s="1"/>
  <c r="Y192" i="1"/>
  <c r="W192" i="1"/>
  <c r="S192" i="1"/>
  <c r="P192" i="1"/>
  <c r="T192" i="1" s="1"/>
  <c r="N192" i="1"/>
  <c r="J192" i="1"/>
  <c r="I192" i="1"/>
  <c r="AP191" i="1"/>
  <c r="AO191" i="1"/>
  <c r="AQ191" i="1" s="1"/>
  <c r="AJ191" i="1"/>
  <c r="AH191" i="1"/>
  <c r="AG191" i="1"/>
  <c r="AC191" i="1"/>
  <c r="Z191" i="1"/>
  <c r="AI191" i="1" s="1"/>
  <c r="AK191" i="1" s="1"/>
  <c r="Y191" i="1"/>
  <c r="AA191" i="1" s="1"/>
  <c r="W191" i="1"/>
  <c r="V191" i="1"/>
  <c r="T191" i="1"/>
  <c r="S191" i="1"/>
  <c r="R191" i="1"/>
  <c r="Q191" i="1"/>
  <c r="P191" i="1"/>
  <c r="X191" i="1" s="1"/>
  <c r="N191" i="1"/>
  <c r="K191" i="1"/>
  <c r="J191" i="1"/>
  <c r="U191" i="1" s="1"/>
  <c r="I191" i="1"/>
  <c r="AQ190" i="1"/>
  <c r="AP190" i="1"/>
  <c r="AO190" i="1"/>
  <c r="AC190" i="1"/>
  <c r="AE190" i="1" s="1"/>
  <c r="AB190" i="1"/>
  <c r="AD190" i="1" s="1"/>
  <c r="Z190" i="1"/>
  <c r="AI190" i="1" s="1"/>
  <c r="Y190" i="1"/>
  <c r="AA190" i="1" s="1"/>
  <c r="AF190" i="1" s="1"/>
  <c r="W190" i="1"/>
  <c r="S190" i="1"/>
  <c r="P190" i="1"/>
  <c r="N190" i="1"/>
  <c r="J190" i="1"/>
  <c r="Q190" i="1" s="1"/>
  <c r="I190" i="1"/>
  <c r="AP189" i="1"/>
  <c r="AO189" i="1"/>
  <c r="AQ189" i="1" s="1"/>
  <c r="AH189" i="1"/>
  <c r="AA189" i="1"/>
  <c r="Z189" i="1"/>
  <c r="AI189" i="1" s="1"/>
  <c r="AK189" i="1" s="1"/>
  <c r="Y189" i="1"/>
  <c r="W189" i="1"/>
  <c r="U189" i="1"/>
  <c r="T189" i="1"/>
  <c r="S189" i="1"/>
  <c r="P189" i="1"/>
  <c r="X189" i="1" s="1"/>
  <c r="N189" i="1"/>
  <c r="J189" i="1"/>
  <c r="Q189" i="1" s="1"/>
  <c r="I189" i="1"/>
  <c r="AP188" i="1"/>
  <c r="AO188" i="1"/>
  <c r="AK188" i="1"/>
  <c r="AI188" i="1"/>
  <c r="AD188" i="1"/>
  <c r="AB188" i="1"/>
  <c r="Z188" i="1"/>
  <c r="Y188" i="1"/>
  <c r="X188" i="1"/>
  <c r="W188" i="1"/>
  <c r="T188" i="1"/>
  <c r="S188" i="1"/>
  <c r="P188" i="1"/>
  <c r="N188" i="1"/>
  <c r="J188" i="1"/>
  <c r="I188" i="1"/>
  <c r="AP187" i="1"/>
  <c r="AQ187" i="1" s="1"/>
  <c r="AO187" i="1"/>
  <c r="AD187" i="1"/>
  <c r="AB187" i="1"/>
  <c r="Z187" i="1"/>
  <c r="AI187" i="1" s="1"/>
  <c r="AK187" i="1" s="1"/>
  <c r="Y187" i="1"/>
  <c r="AA187" i="1" s="1"/>
  <c r="X187" i="1"/>
  <c r="W187" i="1"/>
  <c r="S187" i="1"/>
  <c r="Q187" i="1"/>
  <c r="P187" i="1"/>
  <c r="T187" i="1" s="1"/>
  <c r="N187" i="1"/>
  <c r="I187" i="1"/>
  <c r="J187" i="1" s="1"/>
  <c r="AP186" i="1"/>
  <c r="AO186" i="1"/>
  <c r="AQ186" i="1" s="1"/>
  <c r="AJ186" i="1"/>
  <c r="AL186" i="1" s="1"/>
  <c r="AA186" i="1"/>
  <c r="Z186" i="1"/>
  <c r="AI186" i="1" s="1"/>
  <c r="AK186" i="1" s="1"/>
  <c r="Y186" i="1"/>
  <c r="AH186" i="1" s="1"/>
  <c r="W186" i="1"/>
  <c r="T186" i="1"/>
  <c r="S186" i="1"/>
  <c r="P186" i="1"/>
  <c r="X186" i="1" s="1"/>
  <c r="N186" i="1"/>
  <c r="K186" i="1"/>
  <c r="J186" i="1"/>
  <c r="U186" i="1" s="1"/>
  <c r="I186" i="1"/>
  <c r="AP185" i="1"/>
  <c r="AO185" i="1"/>
  <c r="Z185" i="1"/>
  <c r="AI185" i="1" s="1"/>
  <c r="AK185" i="1" s="1"/>
  <c r="Y185" i="1"/>
  <c r="AA185" i="1" s="1"/>
  <c r="X185" i="1"/>
  <c r="W185" i="1"/>
  <c r="T185" i="1"/>
  <c r="S185" i="1"/>
  <c r="R185" i="1"/>
  <c r="N185" i="1"/>
  <c r="J185" i="1"/>
  <c r="K185" i="1" s="1"/>
  <c r="V185" i="1" s="1"/>
  <c r="I185" i="1"/>
  <c r="AP184" i="1"/>
  <c r="AQ184" i="1" s="1"/>
  <c r="AO184" i="1"/>
  <c r="AI184" i="1"/>
  <c r="AK184" i="1" s="1"/>
  <c r="AD184" i="1"/>
  <c r="AB184" i="1"/>
  <c r="Z184" i="1"/>
  <c r="Y184" i="1"/>
  <c r="W184" i="1"/>
  <c r="U184" i="1"/>
  <c r="T184" i="1"/>
  <c r="S184" i="1"/>
  <c r="R184" i="1"/>
  <c r="Q184" i="1"/>
  <c r="P184" i="1"/>
  <c r="X184" i="1" s="1"/>
  <c r="N184" i="1"/>
  <c r="J184" i="1"/>
  <c r="K184" i="1" s="1"/>
  <c r="V184" i="1" s="1"/>
  <c r="I184" i="1"/>
  <c r="AQ183" i="1"/>
  <c r="AP183" i="1"/>
  <c r="AO183" i="1"/>
  <c r="AA183" i="1"/>
  <c r="Z183" i="1"/>
  <c r="Y183" i="1"/>
  <c r="AH183" i="1" s="1"/>
  <c r="W183" i="1"/>
  <c r="T183" i="1"/>
  <c r="S183" i="1"/>
  <c r="P183" i="1"/>
  <c r="X183" i="1" s="1"/>
  <c r="N183" i="1"/>
  <c r="J183" i="1"/>
  <c r="I183" i="1"/>
  <c r="AP182" i="1"/>
  <c r="AO182" i="1"/>
  <c r="AQ182" i="1" s="1"/>
  <c r="AI182" i="1"/>
  <c r="AH182" i="1"/>
  <c r="AB182" i="1"/>
  <c r="AD182" i="1" s="1"/>
  <c r="AA182" i="1"/>
  <c r="Z182" i="1"/>
  <c r="Y182" i="1"/>
  <c r="W182" i="1"/>
  <c r="S182" i="1"/>
  <c r="P182" i="1"/>
  <c r="N182" i="1"/>
  <c r="J182" i="1"/>
  <c r="I182" i="1"/>
  <c r="AQ181" i="1"/>
  <c r="AP181" i="1"/>
  <c r="AO181" i="1"/>
  <c r="AK181" i="1"/>
  <c r="AI181" i="1"/>
  <c r="AD181" i="1"/>
  <c r="AB181" i="1"/>
  <c r="Z181" i="1"/>
  <c r="Y181" i="1"/>
  <c r="AH181" i="1" s="1"/>
  <c r="X181" i="1"/>
  <c r="W181" i="1"/>
  <c r="U181" i="1"/>
  <c r="T181" i="1"/>
  <c r="S181" i="1"/>
  <c r="P181" i="1"/>
  <c r="N181" i="1"/>
  <c r="I181" i="1"/>
  <c r="J181" i="1" s="1"/>
  <c r="AQ180" i="1"/>
  <c r="AP180" i="1"/>
  <c r="AO180" i="1"/>
  <c r="AG180" i="1"/>
  <c r="AA180" i="1"/>
  <c r="Z180" i="1"/>
  <c r="Y180" i="1"/>
  <c r="AH180" i="1" s="1"/>
  <c r="X180" i="1"/>
  <c r="W180" i="1"/>
  <c r="T180" i="1"/>
  <c r="S180" i="1"/>
  <c r="Q180" i="1"/>
  <c r="N180" i="1"/>
  <c r="J180" i="1"/>
  <c r="I180" i="1"/>
  <c r="AQ179" i="1"/>
  <c r="AP179" i="1"/>
  <c r="AO179" i="1"/>
  <c r="AI179" i="1"/>
  <c r="AK179" i="1" s="1"/>
  <c r="Z179" i="1"/>
  <c r="AB179" i="1" s="1"/>
  <c r="AD179" i="1" s="1"/>
  <c r="Y179" i="1"/>
  <c r="AH179" i="1" s="1"/>
  <c r="X179" i="1"/>
  <c r="W179" i="1"/>
  <c r="T179" i="1"/>
  <c r="S179" i="1"/>
  <c r="P179" i="1"/>
  <c r="N179" i="1"/>
  <c r="J179" i="1"/>
  <c r="I179" i="1"/>
  <c r="AP178" i="1"/>
  <c r="AO178" i="1"/>
  <c r="AQ178" i="1" s="1"/>
  <c r="AH178" i="1"/>
  <c r="AD178" i="1"/>
  <c r="AB178" i="1"/>
  <c r="AA178" i="1"/>
  <c r="Z178" i="1"/>
  <c r="AI178" i="1" s="1"/>
  <c r="AK178" i="1" s="1"/>
  <c r="Y178" i="1"/>
  <c r="W178" i="1"/>
  <c r="T178" i="1"/>
  <c r="S178" i="1"/>
  <c r="P178" i="1"/>
  <c r="X178" i="1" s="1"/>
  <c r="N178" i="1"/>
  <c r="I178" i="1"/>
  <c r="J178" i="1" s="1"/>
  <c r="AQ177" i="1"/>
  <c r="AP177" i="1"/>
  <c r="AO177" i="1"/>
  <c r="Z177" i="1"/>
  <c r="Y177" i="1"/>
  <c r="AH177" i="1" s="1"/>
  <c r="X177" i="1"/>
  <c r="W177" i="1"/>
  <c r="S177" i="1"/>
  <c r="P177" i="1"/>
  <c r="T177" i="1" s="1"/>
  <c r="N177" i="1"/>
  <c r="I177" i="1"/>
  <c r="J177" i="1" s="1"/>
  <c r="AP176" i="1"/>
  <c r="AQ176" i="1" s="1"/>
  <c r="AO176" i="1"/>
  <c r="Z176" i="1"/>
  <c r="AI176" i="1" s="1"/>
  <c r="AK176" i="1" s="1"/>
  <c r="Y176" i="1"/>
  <c r="X176" i="1"/>
  <c r="W176" i="1"/>
  <c r="T176" i="1"/>
  <c r="S176" i="1"/>
  <c r="N176" i="1"/>
  <c r="K176" i="1"/>
  <c r="I176" i="1"/>
  <c r="J176" i="1" s="1"/>
  <c r="AQ175" i="1"/>
  <c r="AP175" i="1"/>
  <c r="AO175" i="1"/>
  <c r="AI175" i="1"/>
  <c r="AK175" i="1" s="1"/>
  <c r="AD175" i="1"/>
  <c r="AB175" i="1"/>
  <c r="Z175" i="1"/>
  <c r="Y175" i="1"/>
  <c r="W175" i="1"/>
  <c r="V175" i="1"/>
  <c r="U175" i="1"/>
  <c r="T175" i="1"/>
  <c r="S175" i="1"/>
  <c r="R175" i="1"/>
  <c r="Q175" i="1"/>
  <c r="P175" i="1"/>
  <c r="X175" i="1" s="1"/>
  <c r="N175" i="1"/>
  <c r="K175" i="1"/>
  <c r="J175" i="1"/>
  <c r="I175" i="1"/>
  <c r="AP174" i="1"/>
  <c r="AO174" i="1"/>
  <c r="AQ174" i="1" s="1"/>
  <c r="AI174" i="1"/>
  <c r="AC174" i="1"/>
  <c r="AE174" i="1" s="1"/>
  <c r="AB174" i="1"/>
  <c r="AD174" i="1" s="1"/>
  <c r="AA174" i="1"/>
  <c r="Z174" i="1"/>
  <c r="Y174" i="1"/>
  <c r="AH174" i="1" s="1"/>
  <c r="W174" i="1"/>
  <c r="S174" i="1"/>
  <c r="Q174" i="1"/>
  <c r="P174" i="1"/>
  <c r="T174" i="1" s="1"/>
  <c r="N174" i="1"/>
  <c r="K174" i="1"/>
  <c r="I174" i="1"/>
  <c r="J174" i="1" s="1"/>
  <c r="U174" i="1" s="1"/>
  <c r="AQ173" i="1"/>
  <c r="AP173" i="1"/>
  <c r="AO173" i="1"/>
  <c r="AI173" i="1"/>
  <c r="AK173" i="1" s="1"/>
  <c r="AH173" i="1"/>
  <c r="AA173" i="1"/>
  <c r="Z173" i="1"/>
  <c r="AB173" i="1" s="1"/>
  <c r="AD173" i="1" s="1"/>
  <c r="Y173" i="1"/>
  <c r="X173" i="1"/>
  <c r="W173" i="1"/>
  <c r="T173" i="1"/>
  <c r="S173" i="1"/>
  <c r="P173" i="1"/>
  <c r="N173" i="1"/>
  <c r="I173" i="1"/>
  <c r="J173" i="1" s="1"/>
  <c r="AG173" i="1" s="1"/>
  <c r="AP172" i="1"/>
  <c r="AO172" i="1"/>
  <c r="AQ172" i="1" s="1"/>
  <c r="AI172" i="1"/>
  <c r="AB172" i="1"/>
  <c r="AD172" i="1" s="1"/>
  <c r="Z172" i="1"/>
  <c r="Y172" i="1"/>
  <c r="AH172" i="1" s="1"/>
  <c r="AN172" i="1" s="1"/>
  <c r="W172" i="1"/>
  <c r="U172" i="1"/>
  <c r="S172" i="1"/>
  <c r="Q172" i="1"/>
  <c r="P172" i="1"/>
  <c r="N172" i="1"/>
  <c r="K172" i="1"/>
  <c r="J172" i="1"/>
  <c r="I172" i="1"/>
  <c r="AQ171" i="1"/>
  <c r="AP171" i="1"/>
  <c r="AO171" i="1"/>
  <c r="AI171" i="1"/>
  <c r="AK171" i="1" s="1"/>
  <c r="AD171" i="1"/>
  <c r="AB171" i="1"/>
  <c r="Z171" i="1"/>
  <c r="Y171" i="1"/>
  <c r="X171" i="1"/>
  <c r="W171" i="1"/>
  <c r="T171" i="1"/>
  <c r="S171" i="1"/>
  <c r="N171" i="1"/>
  <c r="I171" i="1"/>
  <c r="J171" i="1" s="1"/>
  <c r="Q171" i="1" s="1"/>
  <c r="AP170" i="1"/>
  <c r="AO170" i="1"/>
  <c r="AH170" i="1"/>
  <c r="AB170" i="1"/>
  <c r="Z170" i="1"/>
  <c r="AI170" i="1" s="1"/>
  <c r="Y170" i="1"/>
  <c r="AA170" i="1" s="1"/>
  <c r="W170" i="1"/>
  <c r="S170" i="1"/>
  <c r="P170" i="1"/>
  <c r="N170" i="1"/>
  <c r="I170" i="1"/>
  <c r="J170" i="1" s="1"/>
  <c r="U170" i="1" s="1"/>
  <c r="AQ169" i="1"/>
  <c r="AP169" i="1"/>
  <c r="AO169" i="1"/>
  <c r="AK169" i="1"/>
  <c r="Z169" i="1"/>
  <c r="AI169" i="1" s="1"/>
  <c r="Y169" i="1"/>
  <c r="X169" i="1"/>
  <c r="W169" i="1"/>
  <c r="S169" i="1"/>
  <c r="P169" i="1"/>
  <c r="T169" i="1" s="1"/>
  <c r="N169" i="1"/>
  <c r="J169" i="1"/>
  <c r="Q169" i="1" s="1"/>
  <c r="I169" i="1"/>
  <c r="AP168" i="1"/>
  <c r="AO168" i="1"/>
  <c r="AH168" i="1"/>
  <c r="AB168" i="1"/>
  <c r="AD168" i="1" s="1"/>
  <c r="Z168" i="1"/>
  <c r="AI168" i="1" s="1"/>
  <c r="AK168" i="1" s="1"/>
  <c r="Y168" i="1"/>
  <c r="AA168" i="1" s="1"/>
  <c r="X168" i="1"/>
  <c r="W168" i="1"/>
  <c r="T168" i="1"/>
  <c r="S168" i="1"/>
  <c r="P168" i="1"/>
  <c r="N168" i="1"/>
  <c r="J168" i="1"/>
  <c r="I168" i="1"/>
  <c r="AP167" i="1"/>
  <c r="AO167" i="1"/>
  <c r="AQ167" i="1" s="1"/>
  <c r="Z167" i="1"/>
  <c r="Y167" i="1"/>
  <c r="AA167" i="1" s="1"/>
  <c r="X167" i="1"/>
  <c r="W167" i="1"/>
  <c r="U167" i="1"/>
  <c r="T167" i="1"/>
  <c r="S167" i="1"/>
  <c r="P167" i="1"/>
  <c r="N167" i="1"/>
  <c r="J167" i="1"/>
  <c r="Q167" i="1" s="1"/>
  <c r="I167" i="1"/>
  <c r="AP166" i="1"/>
  <c r="AO166" i="1"/>
  <c r="Z166" i="1"/>
  <c r="AI166" i="1" s="1"/>
  <c r="Y166" i="1"/>
  <c r="AH166" i="1" s="1"/>
  <c r="W166" i="1"/>
  <c r="U166" i="1"/>
  <c r="S166" i="1"/>
  <c r="R166" i="1"/>
  <c r="Q166" i="1"/>
  <c r="P166" i="1"/>
  <c r="X166" i="1" s="1"/>
  <c r="N166" i="1"/>
  <c r="K166" i="1"/>
  <c r="V166" i="1" s="1"/>
  <c r="J166" i="1"/>
  <c r="I166" i="1"/>
  <c r="AP165" i="1"/>
  <c r="AO165" i="1"/>
  <c r="AQ165" i="1" s="1"/>
  <c r="AK165" i="1"/>
  <c r="AI165" i="1"/>
  <c r="Z165" i="1"/>
  <c r="AB165" i="1" s="1"/>
  <c r="AD165" i="1" s="1"/>
  <c r="Y165" i="1"/>
  <c r="AH165" i="1" s="1"/>
  <c r="X165" i="1"/>
  <c r="W165" i="1"/>
  <c r="S165" i="1"/>
  <c r="P165" i="1"/>
  <c r="T165" i="1" s="1"/>
  <c r="N165" i="1"/>
  <c r="I165" i="1"/>
  <c r="J165" i="1" s="1"/>
  <c r="AQ164" i="1"/>
  <c r="AP164" i="1"/>
  <c r="AO164" i="1"/>
  <c r="AI164" i="1"/>
  <c r="AK164" i="1" s="1"/>
  <c r="AH164" i="1"/>
  <c r="AC164" i="1"/>
  <c r="AE164" i="1" s="1"/>
  <c r="AB164" i="1"/>
  <c r="AD164" i="1" s="1"/>
  <c r="Z164" i="1"/>
  <c r="Y164" i="1"/>
  <c r="AA164" i="1" s="1"/>
  <c r="W164" i="1"/>
  <c r="U164" i="1"/>
  <c r="S164" i="1"/>
  <c r="P164" i="1"/>
  <c r="N164" i="1"/>
  <c r="J164" i="1"/>
  <c r="I164" i="1"/>
  <c r="AP163" i="1"/>
  <c r="AO163" i="1"/>
  <c r="AG163" i="1"/>
  <c r="AB163" i="1"/>
  <c r="AD163" i="1" s="1"/>
  <c r="AA163" i="1"/>
  <c r="AC163" i="1" s="1"/>
  <c r="AE163" i="1" s="1"/>
  <c r="Z163" i="1"/>
  <c r="AI163" i="1" s="1"/>
  <c r="AK163" i="1" s="1"/>
  <c r="Y163" i="1"/>
  <c r="AH163" i="1" s="1"/>
  <c r="X163" i="1"/>
  <c r="W163" i="1"/>
  <c r="T163" i="1"/>
  <c r="S163" i="1"/>
  <c r="P163" i="1"/>
  <c r="N163" i="1"/>
  <c r="J163" i="1"/>
  <c r="I163" i="1"/>
  <c r="AP162" i="1"/>
  <c r="AO162" i="1"/>
  <c r="AQ162" i="1" s="1"/>
  <c r="AK162" i="1"/>
  <c r="Z162" i="1"/>
  <c r="AI162" i="1" s="1"/>
  <c r="Y162" i="1"/>
  <c r="AA162" i="1" s="1"/>
  <c r="X162" i="1"/>
  <c r="W162" i="1"/>
  <c r="T162" i="1"/>
  <c r="S162" i="1"/>
  <c r="P162" i="1"/>
  <c r="N162" i="1"/>
  <c r="I162" i="1"/>
  <c r="J162" i="1" s="1"/>
  <c r="AQ161" i="1"/>
  <c r="AP161" i="1"/>
  <c r="AO161" i="1"/>
  <c r="AI161" i="1"/>
  <c r="AC161" i="1"/>
  <c r="AB161" i="1"/>
  <c r="Z161" i="1"/>
  <c r="Y161" i="1"/>
  <c r="AA161" i="1" s="1"/>
  <c r="AG161" i="1" s="1"/>
  <c r="W161" i="1"/>
  <c r="V161" i="1"/>
  <c r="S161" i="1"/>
  <c r="Q161" i="1"/>
  <c r="P161" i="1"/>
  <c r="AK161" i="1" s="1"/>
  <c r="N161" i="1"/>
  <c r="J161" i="1"/>
  <c r="K161" i="1" s="1"/>
  <c r="R161" i="1" s="1"/>
  <c r="I161" i="1"/>
  <c r="AP160" i="1"/>
  <c r="AO160" i="1"/>
  <c r="AQ160" i="1" s="1"/>
  <c r="AF160" i="1"/>
  <c r="AB160" i="1"/>
  <c r="AD160" i="1" s="1"/>
  <c r="AA160" i="1"/>
  <c r="AC160" i="1" s="1"/>
  <c r="AE160" i="1" s="1"/>
  <c r="Z160" i="1"/>
  <c r="AI160" i="1" s="1"/>
  <c r="Y160" i="1"/>
  <c r="AH160" i="1" s="1"/>
  <c r="W160" i="1"/>
  <c r="U160" i="1"/>
  <c r="T160" i="1"/>
  <c r="S160" i="1"/>
  <c r="P160" i="1"/>
  <c r="N160" i="1"/>
  <c r="K160" i="1"/>
  <c r="I160" i="1"/>
  <c r="J160" i="1" s="1"/>
  <c r="Q160" i="1" s="1"/>
  <c r="AP159" i="1"/>
  <c r="AO159" i="1"/>
  <c r="AQ159" i="1" s="1"/>
  <c r="Z159" i="1"/>
  <c r="AB159" i="1" s="1"/>
  <c r="AD159" i="1" s="1"/>
  <c r="Y159" i="1"/>
  <c r="X159" i="1"/>
  <c r="W159" i="1"/>
  <c r="S159" i="1"/>
  <c r="P159" i="1"/>
  <c r="T159" i="1" s="1"/>
  <c r="N159" i="1"/>
  <c r="I159" i="1"/>
  <c r="J159" i="1" s="1"/>
  <c r="AQ158" i="1"/>
  <c r="AP158" i="1"/>
  <c r="AO158" i="1"/>
  <c r="AI158" i="1"/>
  <c r="AD158" i="1"/>
  <c r="AB158" i="1"/>
  <c r="Z158" i="1"/>
  <c r="Y158" i="1"/>
  <c r="W158" i="1"/>
  <c r="S158" i="1"/>
  <c r="P158" i="1"/>
  <c r="N158" i="1"/>
  <c r="I158" i="1"/>
  <c r="J158" i="1" s="1"/>
  <c r="AP157" i="1"/>
  <c r="AQ157" i="1" s="1"/>
  <c r="AO157" i="1"/>
  <c r="AK157" i="1"/>
  <c r="AD157" i="1"/>
  <c r="AB157" i="1"/>
  <c r="Z157" i="1"/>
  <c r="AI157" i="1" s="1"/>
  <c r="Y157" i="1"/>
  <c r="AH157" i="1" s="1"/>
  <c r="X157" i="1"/>
  <c r="W157" i="1"/>
  <c r="T157" i="1"/>
  <c r="S157" i="1"/>
  <c r="P157" i="1"/>
  <c r="N157" i="1"/>
  <c r="I157" i="1"/>
  <c r="J157" i="1" s="1"/>
  <c r="AP156" i="1"/>
  <c r="AO156" i="1"/>
  <c r="AQ156" i="1" s="1"/>
  <c r="Z156" i="1"/>
  <c r="Y156" i="1"/>
  <c r="AA156" i="1" s="1"/>
  <c r="X156" i="1"/>
  <c r="W156" i="1"/>
  <c r="V156" i="1"/>
  <c r="T156" i="1"/>
  <c r="S156" i="1"/>
  <c r="P156" i="1"/>
  <c r="N156" i="1"/>
  <c r="K156" i="1"/>
  <c r="R156" i="1" s="1"/>
  <c r="J156" i="1"/>
  <c r="I156" i="1"/>
  <c r="AP155" i="1"/>
  <c r="AO155" i="1"/>
  <c r="AQ155" i="1" s="1"/>
  <c r="AK155" i="1"/>
  <c r="AI155" i="1"/>
  <c r="AH155" i="1"/>
  <c r="AF155" i="1"/>
  <c r="AD155" i="1"/>
  <c r="AB155" i="1"/>
  <c r="Z155" i="1"/>
  <c r="Y155" i="1"/>
  <c r="AA155" i="1" s="1"/>
  <c r="X155" i="1"/>
  <c r="W155" i="1"/>
  <c r="S155" i="1"/>
  <c r="Q155" i="1"/>
  <c r="P155" i="1"/>
  <c r="T155" i="1" s="1"/>
  <c r="N155" i="1"/>
  <c r="K155" i="1"/>
  <c r="I155" i="1"/>
  <c r="J155" i="1" s="1"/>
  <c r="AP154" i="1"/>
  <c r="AO154" i="1"/>
  <c r="AQ154" i="1" s="1"/>
  <c r="Z154" i="1"/>
  <c r="Y154" i="1"/>
  <c r="X154" i="1"/>
  <c r="W154" i="1"/>
  <c r="S154" i="1"/>
  <c r="P154" i="1"/>
  <c r="T154" i="1" s="1"/>
  <c r="N154" i="1"/>
  <c r="J154" i="1"/>
  <c r="I154" i="1"/>
  <c r="AP153" i="1"/>
  <c r="AO153" i="1"/>
  <c r="AI153" i="1"/>
  <c r="AK153" i="1" s="1"/>
  <c r="AD153" i="1"/>
  <c r="Z153" i="1"/>
  <c r="AB153" i="1" s="1"/>
  <c r="Y153" i="1"/>
  <c r="W153" i="1"/>
  <c r="T153" i="1"/>
  <c r="S153" i="1"/>
  <c r="P153" i="1"/>
  <c r="X153" i="1" s="1"/>
  <c r="N153" i="1"/>
  <c r="J153" i="1"/>
  <c r="I153" i="1"/>
  <c r="AP152" i="1"/>
  <c r="AO152" i="1"/>
  <c r="AQ152" i="1" s="1"/>
  <c r="Z152" i="1"/>
  <c r="Y152" i="1"/>
  <c r="AA152" i="1" s="1"/>
  <c r="X152" i="1"/>
  <c r="W152" i="1"/>
  <c r="U152" i="1"/>
  <c r="S152" i="1"/>
  <c r="P152" i="1"/>
  <c r="T152" i="1" s="1"/>
  <c r="N152" i="1"/>
  <c r="K152" i="1"/>
  <c r="J152" i="1"/>
  <c r="Q152" i="1" s="1"/>
  <c r="I152" i="1"/>
  <c r="AP151" i="1"/>
  <c r="AO151" i="1"/>
  <c r="AQ151" i="1" s="1"/>
  <c r="AH151" i="1"/>
  <c r="AA151" i="1"/>
  <c r="Z151" i="1"/>
  <c r="Y151" i="1"/>
  <c r="W151" i="1"/>
  <c r="U151" i="1"/>
  <c r="S151" i="1"/>
  <c r="P151" i="1"/>
  <c r="X151" i="1" s="1"/>
  <c r="N151" i="1"/>
  <c r="I151" i="1"/>
  <c r="J151" i="1" s="1"/>
  <c r="AP150" i="1"/>
  <c r="AO150" i="1"/>
  <c r="AG150" i="1"/>
  <c r="AA150" i="1"/>
  <c r="Z150" i="1"/>
  <c r="AB150" i="1" s="1"/>
  <c r="AD150" i="1" s="1"/>
  <c r="Y150" i="1"/>
  <c r="AH150" i="1" s="1"/>
  <c r="X150" i="1"/>
  <c r="W150" i="1"/>
  <c r="T150" i="1"/>
  <c r="S150" i="1"/>
  <c r="P150" i="1"/>
  <c r="N150" i="1"/>
  <c r="K150" i="1"/>
  <c r="J150" i="1"/>
  <c r="I150" i="1"/>
  <c r="AP149" i="1"/>
  <c r="AO149" i="1"/>
  <c r="AN149" i="1"/>
  <c r="AH149" i="1"/>
  <c r="AC149" i="1"/>
  <c r="Z149" i="1"/>
  <c r="Y149" i="1"/>
  <c r="AA149" i="1" s="1"/>
  <c r="W149" i="1"/>
  <c r="U149" i="1"/>
  <c r="T149" i="1"/>
  <c r="S149" i="1"/>
  <c r="P149" i="1"/>
  <c r="X149" i="1" s="1"/>
  <c r="N149" i="1"/>
  <c r="K149" i="1"/>
  <c r="I149" i="1"/>
  <c r="J149" i="1" s="1"/>
  <c r="Q149" i="1" s="1"/>
  <c r="AP148" i="1"/>
  <c r="AO148" i="1"/>
  <c r="AQ148" i="1" s="1"/>
  <c r="AH148" i="1"/>
  <c r="AB148" i="1"/>
  <c r="AD148" i="1" s="1"/>
  <c r="AA148" i="1"/>
  <c r="Z148" i="1"/>
  <c r="AI148" i="1" s="1"/>
  <c r="Y148" i="1"/>
  <c r="W148" i="1"/>
  <c r="S148" i="1"/>
  <c r="P148" i="1"/>
  <c r="N148" i="1"/>
  <c r="I148" i="1"/>
  <c r="J148" i="1" s="1"/>
  <c r="AP147" i="1"/>
  <c r="AQ147" i="1" s="1"/>
  <c r="AO147" i="1"/>
  <c r="AK147" i="1"/>
  <c r="AI147" i="1"/>
  <c r="Z147" i="1"/>
  <c r="AB147" i="1" s="1"/>
  <c r="AD147" i="1" s="1"/>
  <c r="Y147" i="1"/>
  <c r="X147" i="1"/>
  <c r="W147" i="1"/>
  <c r="T147" i="1"/>
  <c r="S147" i="1"/>
  <c r="P147" i="1"/>
  <c r="N147" i="1"/>
  <c r="J147" i="1"/>
  <c r="I147" i="1"/>
  <c r="AP146" i="1"/>
  <c r="AQ146" i="1" s="1"/>
  <c r="AO146" i="1"/>
  <c r="AH146" i="1"/>
  <c r="AG146" i="1"/>
  <c r="AA146" i="1"/>
  <c r="Z146" i="1"/>
  <c r="Y146" i="1"/>
  <c r="W146" i="1"/>
  <c r="U146" i="1"/>
  <c r="S146" i="1"/>
  <c r="P146" i="1"/>
  <c r="X146" i="1" s="1"/>
  <c r="N146" i="1"/>
  <c r="K146" i="1"/>
  <c r="I146" i="1"/>
  <c r="J146" i="1" s="1"/>
  <c r="Q146" i="1" s="1"/>
  <c r="AP145" i="1"/>
  <c r="AO145" i="1"/>
  <c r="AQ145" i="1" s="1"/>
  <c r="AN145" i="1"/>
  <c r="AH145" i="1"/>
  <c r="AC145" i="1"/>
  <c r="AA145" i="1"/>
  <c r="Z145" i="1"/>
  <c r="Y145" i="1"/>
  <c r="W145" i="1"/>
  <c r="V145" i="1"/>
  <c r="S145" i="1"/>
  <c r="Q145" i="1"/>
  <c r="P145" i="1"/>
  <c r="T145" i="1" s="1"/>
  <c r="N145" i="1"/>
  <c r="K145" i="1"/>
  <c r="R145" i="1" s="1"/>
  <c r="I145" i="1"/>
  <c r="J145" i="1" s="1"/>
  <c r="U145" i="1" s="1"/>
  <c r="AP144" i="1"/>
  <c r="AQ144" i="1" s="1"/>
  <c r="AO144" i="1"/>
  <c r="AI144" i="1"/>
  <c r="AK144" i="1" s="1"/>
  <c r="AD144" i="1"/>
  <c r="Z144" i="1"/>
  <c r="AB144" i="1" s="1"/>
  <c r="Y144" i="1"/>
  <c r="AA144" i="1" s="1"/>
  <c r="X144" i="1"/>
  <c r="W144" i="1"/>
  <c r="T144" i="1"/>
  <c r="S144" i="1"/>
  <c r="P144" i="1"/>
  <c r="N144" i="1"/>
  <c r="I144" i="1"/>
  <c r="J144" i="1" s="1"/>
  <c r="AP143" i="1"/>
  <c r="AQ143" i="1" s="1"/>
  <c r="AO143" i="1"/>
  <c r="AH143" i="1"/>
  <c r="AM143" i="1" s="1"/>
  <c r="AG143" i="1"/>
  <c r="AD143" i="1"/>
  <c r="AE143" i="1" s="1"/>
  <c r="AB143" i="1"/>
  <c r="AF143" i="1" s="1"/>
  <c r="AA143" i="1"/>
  <c r="AC143" i="1" s="1"/>
  <c r="Z143" i="1"/>
  <c r="AI143" i="1" s="1"/>
  <c r="AK143" i="1" s="1"/>
  <c r="Y143" i="1"/>
  <c r="W143" i="1"/>
  <c r="U143" i="1"/>
  <c r="T143" i="1"/>
  <c r="S143" i="1"/>
  <c r="P143" i="1"/>
  <c r="X143" i="1" s="1"/>
  <c r="N143" i="1"/>
  <c r="K143" i="1"/>
  <c r="J143" i="1"/>
  <c r="Q143" i="1" s="1"/>
  <c r="I143" i="1"/>
  <c r="AP142" i="1"/>
  <c r="AO142" i="1"/>
  <c r="AQ142" i="1" s="1"/>
  <c r="AH142" i="1"/>
  <c r="AB142" i="1"/>
  <c r="AD142" i="1" s="1"/>
  <c r="AA142" i="1"/>
  <c r="Z142" i="1"/>
  <c r="AI142" i="1" s="1"/>
  <c r="Y142" i="1"/>
  <c r="W142" i="1"/>
  <c r="S142" i="1"/>
  <c r="P142" i="1"/>
  <c r="N142" i="1"/>
  <c r="I142" i="1"/>
  <c r="J142" i="1" s="1"/>
  <c r="AP141" i="1"/>
  <c r="AQ141" i="1" s="1"/>
  <c r="AO141" i="1"/>
  <c r="AK141" i="1"/>
  <c r="AI141" i="1"/>
  <c r="AH141" i="1"/>
  <c r="Z141" i="1"/>
  <c r="AB141" i="1" s="1"/>
  <c r="AD141" i="1" s="1"/>
  <c r="Y141" i="1"/>
  <c r="AA141" i="1" s="1"/>
  <c r="X141" i="1"/>
  <c r="W141" i="1"/>
  <c r="T141" i="1"/>
  <c r="S141" i="1"/>
  <c r="P141" i="1"/>
  <c r="N141" i="1"/>
  <c r="J141" i="1"/>
  <c r="I141" i="1"/>
  <c r="AQ140" i="1"/>
  <c r="AP140" i="1"/>
  <c r="AO140" i="1"/>
  <c r="AN140" i="1"/>
  <c r="AH140" i="1"/>
  <c r="AG140" i="1"/>
  <c r="AA140" i="1"/>
  <c r="AC140" i="1" s="1"/>
  <c r="Z140" i="1"/>
  <c r="Y140" i="1"/>
  <c r="W140" i="1"/>
  <c r="U140" i="1"/>
  <c r="T140" i="1"/>
  <c r="S140" i="1"/>
  <c r="R140" i="1"/>
  <c r="P140" i="1"/>
  <c r="X140" i="1" s="1"/>
  <c r="N140" i="1"/>
  <c r="K140" i="1"/>
  <c r="V140" i="1" s="1"/>
  <c r="J140" i="1"/>
  <c r="Q140" i="1" s="1"/>
  <c r="I140" i="1"/>
  <c r="AP139" i="1"/>
  <c r="AO139" i="1"/>
  <c r="AQ139" i="1" s="1"/>
  <c r="AH139" i="1"/>
  <c r="AB139" i="1"/>
  <c r="AD139" i="1" s="1"/>
  <c r="AA139" i="1"/>
  <c r="Z139" i="1"/>
  <c r="AI139" i="1" s="1"/>
  <c r="AK139" i="1" s="1"/>
  <c r="Y139" i="1"/>
  <c r="X139" i="1"/>
  <c r="W139" i="1"/>
  <c r="S139" i="1"/>
  <c r="P139" i="1"/>
  <c r="T139" i="1" s="1"/>
  <c r="N139" i="1"/>
  <c r="I139" i="1"/>
  <c r="J139" i="1" s="1"/>
  <c r="AP138" i="1"/>
  <c r="AQ138" i="1" s="1"/>
  <c r="AO138" i="1"/>
  <c r="AI138" i="1"/>
  <c r="AK138" i="1" s="1"/>
  <c r="AD138" i="1"/>
  <c r="Z138" i="1"/>
  <c r="AB138" i="1" s="1"/>
  <c r="Y138" i="1"/>
  <c r="X138" i="1"/>
  <c r="W138" i="1"/>
  <c r="T138" i="1"/>
  <c r="S138" i="1"/>
  <c r="P138" i="1"/>
  <c r="N138" i="1"/>
  <c r="J138" i="1"/>
  <c r="I138" i="1"/>
  <c r="AQ137" i="1"/>
  <c r="AP137" i="1"/>
  <c r="AO137" i="1"/>
  <c r="AN137" i="1"/>
  <c r="AH137" i="1"/>
  <c r="AG137" i="1"/>
  <c r="AD137" i="1"/>
  <c r="AB137" i="1"/>
  <c r="Z137" i="1"/>
  <c r="AI137" i="1" s="1"/>
  <c r="AK137" i="1" s="1"/>
  <c r="Y137" i="1"/>
  <c r="AA137" i="1" s="1"/>
  <c r="W137" i="1"/>
  <c r="U137" i="1"/>
  <c r="T137" i="1"/>
  <c r="S137" i="1"/>
  <c r="R137" i="1"/>
  <c r="Q137" i="1"/>
  <c r="P137" i="1"/>
  <c r="X137" i="1" s="1"/>
  <c r="N137" i="1"/>
  <c r="K137" i="1"/>
  <c r="V137" i="1" s="1"/>
  <c r="J137" i="1"/>
  <c r="I137" i="1"/>
  <c r="AP136" i="1"/>
  <c r="AO136" i="1"/>
  <c r="AQ136" i="1" s="1"/>
  <c r="AH136" i="1"/>
  <c r="AC136" i="1"/>
  <c r="AA136" i="1"/>
  <c r="Z136" i="1"/>
  <c r="AI136" i="1" s="1"/>
  <c r="AK136" i="1" s="1"/>
  <c r="Y136" i="1"/>
  <c r="X136" i="1"/>
  <c r="W136" i="1"/>
  <c r="S136" i="1"/>
  <c r="Q136" i="1"/>
  <c r="P136" i="1"/>
  <c r="T136" i="1" s="1"/>
  <c r="N136" i="1"/>
  <c r="K136" i="1"/>
  <c r="I136" i="1"/>
  <c r="J136" i="1" s="1"/>
  <c r="U136" i="1" s="1"/>
  <c r="AP135" i="1"/>
  <c r="AO135" i="1"/>
  <c r="Z135" i="1"/>
  <c r="Y135" i="1"/>
  <c r="AA135" i="1" s="1"/>
  <c r="X135" i="1"/>
  <c r="W135" i="1"/>
  <c r="T135" i="1"/>
  <c r="S135" i="1"/>
  <c r="P135" i="1"/>
  <c r="N135" i="1"/>
  <c r="I135" i="1"/>
  <c r="J135" i="1" s="1"/>
  <c r="AQ134" i="1"/>
  <c r="AP134" i="1"/>
  <c r="AO134" i="1"/>
  <c r="AH134" i="1"/>
  <c r="Z134" i="1"/>
  <c r="Y134" i="1"/>
  <c r="AA134" i="1" s="1"/>
  <c r="W134" i="1"/>
  <c r="V134" i="1"/>
  <c r="U134" i="1"/>
  <c r="T134" i="1"/>
  <c r="S134" i="1"/>
  <c r="P134" i="1"/>
  <c r="X134" i="1" s="1"/>
  <c r="N134" i="1"/>
  <c r="K134" i="1"/>
  <c r="R134" i="1" s="1"/>
  <c r="J134" i="1"/>
  <c r="Q134" i="1" s="1"/>
  <c r="I134" i="1"/>
  <c r="AP133" i="1"/>
  <c r="AO133" i="1"/>
  <c r="AK133" i="1"/>
  <c r="AB133" i="1"/>
  <c r="AD133" i="1" s="1"/>
  <c r="Z133" i="1"/>
  <c r="AI133" i="1" s="1"/>
  <c r="Y133" i="1"/>
  <c r="AH133" i="1" s="1"/>
  <c r="AN133" i="1" s="1"/>
  <c r="X133" i="1"/>
  <c r="W133" i="1"/>
  <c r="S133" i="1"/>
  <c r="P133" i="1"/>
  <c r="T133" i="1" s="1"/>
  <c r="N133" i="1"/>
  <c r="K133" i="1"/>
  <c r="V133" i="1" s="1"/>
  <c r="J133" i="1"/>
  <c r="I133" i="1"/>
  <c r="AP132" i="1"/>
  <c r="AO132" i="1"/>
  <c r="AQ132" i="1" s="1"/>
  <c r="AI132" i="1"/>
  <c r="AK132" i="1" s="1"/>
  <c r="AH132" i="1"/>
  <c r="AD132" i="1"/>
  <c r="AC132" i="1"/>
  <c r="AE132" i="1" s="1"/>
  <c r="Z132" i="1"/>
  <c r="AB132" i="1" s="1"/>
  <c r="Y132" i="1"/>
  <c r="AA132" i="1" s="1"/>
  <c r="X132" i="1"/>
  <c r="W132" i="1"/>
  <c r="T132" i="1"/>
  <c r="S132" i="1"/>
  <c r="N132" i="1"/>
  <c r="J132" i="1"/>
  <c r="I132" i="1"/>
  <c r="AP131" i="1"/>
  <c r="AO131" i="1"/>
  <c r="AQ131" i="1" s="1"/>
  <c r="AF131" i="1"/>
  <c r="AD131" i="1"/>
  <c r="AB131" i="1"/>
  <c r="AA131" i="1"/>
  <c r="Z131" i="1"/>
  <c r="AI131" i="1" s="1"/>
  <c r="AK131" i="1" s="1"/>
  <c r="Y131" i="1"/>
  <c r="AH131" i="1" s="1"/>
  <c r="W131" i="1"/>
  <c r="S131" i="1"/>
  <c r="P131" i="1"/>
  <c r="N131" i="1"/>
  <c r="I131" i="1"/>
  <c r="J131" i="1" s="1"/>
  <c r="AP130" i="1"/>
  <c r="AO130" i="1"/>
  <c r="AQ130" i="1" s="1"/>
  <c r="AJ130" i="1"/>
  <c r="AI130" i="1"/>
  <c r="AH130" i="1"/>
  <c r="AG130" i="1"/>
  <c r="AC130" i="1"/>
  <c r="AA130" i="1"/>
  <c r="Z130" i="1"/>
  <c r="AB130" i="1" s="1"/>
  <c r="Y130" i="1"/>
  <c r="W130" i="1"/>
  <c r="U130" i="1"/>
  <c r="S130" i="1"/>
  <c r="Q130" i="1"/>
  <c r="P130" i="1"/>
  <c r="T130" i="1" s="1"/>
  <c r="N130" i="1"/>
  <c r="K130" i="1"/>
  <c r="R130" i="1" s="1"/>
  <c r="J130" i="1"/>
  <c r="I130" i="1"/>
  <c r="AP129" i="1"/>
  <c r="AO129" i="1"/>
  <c r="AQ129" i="1" s="1"/>
  <c r="AI129" i="1"/>
  <c r="AK129" i="1" s="1"/>
  <c r="AB129" i="1"/>
  <c r="AD129" i="1" s="1"/>
  <c r="Z129" i="1"/>
  <c r="Y129" i="1"/>
  <c r="W129" i="1"/>
  <c r="S129" i="1"/>
  <c r="P129" i="1"/>
  <c r="N129" i="1"/>
  <c r="J129" i="1"/>
  <c r="I129" i="1"/>
  <c r="AP128" i="1"/>
  <c r="AO128" i="1"/>
  <c r="AQ128" i="1" s="1"/>
  <c r="AH128" i="1"/>
  <c r="AB128" i="1"/>
  <c r="AF128" i="1" s="1"/>
  <c r="Z128" i="1"/>
  <c r="AI128" i="1" s="1"/>
  <c r="Y128" i="1"/>
  <c r="AA128" i="1" s="1"/>
  <c r="AG128" i="1" s="1"/>
  <c r="W128" i="1"/>
  <c r="V128" i="1"/>
  <c r="T128" i="1"/>
  <c r="S128" i="1"/>
  <c r="Q128" i="1"/>
  <c r="P128" i="1"/>
  <c r="X128" i="1" s="1"/>
  <c r="N128" i="1"/>
  <c r="K128" i="1"/>
  <c r="R128" i="1" s="1"/>
  <c r="J128" i="1"/>
  <c r="AC128" i="1" s="1"/>
  <c r="I128" i="1"/>
  <c r="AP127" i="1"/>
  <c r="AO127" i="1"/>
  <c r="AQ127" i="1" s="1"/>
  <c r="AI127" i="1"/>
  <c r="AM127" i="1" s="1"/>
  <c r="AG127" i="1"/>
  <c r="AC127" i="1"/>
  <c r="AE127" i="1" s="1"/>
  <c r="AB127" i="1"/>
  <c r="AD127" i="1" s="1"/>
  <c r="AA127" i="1"/>
  <c r="Z127" i="1"/>
  <c r="Y127" i="1"/>
  <c r="AH127" i="1" s="1"/>
  <c r="X127" i="1"/>
  <c r="W127" i="1"/>
  <c r="V127" i="1"/>
  <c r="S127" i="1"/>
  <c r="Q127" i="1"/>
  <c r="P127" i="1"/>
  <c r="T127" i="1" s="1"/>
  <c r="N127" i="1"/>
  <c r="K127" i="1"/>
  <c r="R127" i="1" s="1"/>
  <c r="I127" i="1"/>
  <c r="J127" i="1" s="1"/>
  <c r="U127" i="1" s="1"/>
  <c r="AP126" i="1"/>
  <c r="AQ126" i="1" s="1"/>
  <c r="AO126" i="1"/>
  <c r="AI126" i="1"/>
  <c r="AK126" i="1" s="1"/>
  <c r="Z126" i="1"/>
  <c r="AB126" i="1" s="1"/>
  <c r="AD126" i="1" s="1"/>
  <c r="Y126" i="1"/>
  <c r="AA126" i="1" s="1"/>
  <c r="X126" i="1"/>
  <c r="W126" i="1"/>
  <c r="V126" i="1"/>
  <c r="T126" i="1"/>
  <c r="S126" i="1"/>
  <c r="R126" i="1"/>
  <c r="Q126" i="1"/>
  <c r="N126" i="1"/>
  <c r="I126" i="1"/>
  <c r="J126" i="1" s="1"/>
  <c r="K126" i="1" s="1"/>
  <c r="AQ125" i="1"/>
  <c r="AP125" i="1"/>
  <c r="AO125" i="1"/>
  <c r="AI125" i="1"/>
  <c r="AK125" i="1" s="1"/>
  <c r="AA125" i="1"/>
  <c r="Z125" i="1"/>
  <c r="AB125" i="1" s="1"/>
  <c r="AD125" i="1" s="1"/>
  <c r="Y125" i="1"/>
  <c r="AH125" i="1" s="1"/>
  <c r="X125" i="1"/>
  <c r="W125" i="1"/>
  <c r="T125" i="1"/>
  <c r="S125" i="1"/>
  <c r="P125" i="1"/>
  <c r="N125" i="1"/>
  <c r="I125" i="1"/>
  <c r="J125" i="1" s="1"/>
  <c r="AP124" i="1"/>
  <c r="AO124" i="1"/>
  <c r="AQ124" i="1" s="1"/>
  <c r="AK124" i="1"/>
  <c r="AI124" i="1"/>
  <c r="AH124" i="1"/>
  <c r="AB124" i="1"/>
  <c r="AD124" i="1" s="1"/>
  <c r="Z124" i="1"/>
  <c r="Y124" i="1"/>
  <c r="AA124" i="1" s="1"/>
  <c r="W124" i="1"/>
  <c r="T124" i="1"/>
  <c r="S124" i="1"/>
  <c r="P124" i="1"/>
  <c r="X124" i="1" s="1"/>
  <c r="N124" i="1"/>
  <c r="K124" i="1"/>
  <c r="R124" i="1" s="1"/>
  <c r="I124" i="1"/>
  <c r="J124" i="1" s="1"/>
  <c r="AQ123" i="1"/>
  <c r="AP123" i="1"/>
  <c r="AO123" i="1"/>
  <c r="AI123" i="1"/>
  <c r="AK123" i="1" s="1"/>
  <c r="AB123" i="1"/>
  <c r="AD123" i="1" s="1"/>
  <c r="AA123" i="1"/>
  <c r="Z123" i="1"/>
  <c r="Y123" i="1"/>
  <c r="AH123" i="1" s="1"/>
  <c r="W123" i="1"/>
  <c r="S123" i="1"/>
  <c r="P123" i="1"/>
  <c r="N123" i="1"/>
  <c r="J123" i="1"/>
  <c r="I123" i="1"/>
  <c r="AP122" i="1"/>
  <c r="AO122" i="1"/>
  <c r="AQ122" i="1" s="1"/>
  <c r="AK122" i="1"/>
  <c r="AI122" i="1"/>
  <c r="AB122" i="1"/>
  <c r="AD122" i="1" s="1"/>
  <c r="Z122" i="1"/>
  <c r="Y122" i="1"/>
  <c r="AH122" i="1" s="1"/>
  <c r="X122" i="1"/>
  <c r="W122" i="1"/>
  <c r="T122" i="1"/>
  <c r="S122" i="1"/>
  <c r="P122" i="1"/>
  <c r="N122" i="1"/>
  <c r="K122" i="1"/>
  <c r="I122" i="1"/>
  <c r="J122" i="1" s="1"/>
  <c r="Q122" i="1" s="1"/>
  <c r="AP121" i="1"/>
  <c r="AO121" i="1"/>
  <c r="AQ121" i="1" s="1"/>
  <c r="Z121" i="1"/>
  <c r="Y121" i="1"/>
  <c r="AH121" i="1" s="1"/>
  <c r="X121" i="1"/>
  <c r="W121" i="1"/>
  <c r="T121" i="1"/>
  <c r="S121" i="1"/>
  <c r="P121" i="1"/>
  <c r="N121" i="1"/>
  <c r="I121" i="1"/>
  <c r="J121" i="1" s="1"/>
  <c r="AP120" i="1"/>
  <c r="AO120" i="1"/>
  <c r="AI120" i="1"/>
  <c r="AH120" i="1"/>
  <c r="AG120" i="1"/>
  <c r="AF120" i="1"/>
  <c r="AE120" i="1"/>
  <c r="AC120" i="1"/>
  <c r="AB120" i="1"/>
  <c r="AD120" i="1" s="1"/>
  <c r="AA120" i="1"/>
  <c r="Z120" i="1"/>
  <c r="Y120" i="1"/>
  <c r="W120" i="1"/>
  <c r="U120" i="1"/>
  <c r="S120" i="1"/>
  <c r="Q120" i="1"/>
  <c r="P120" i="1"/>
  <c r="X120" i="1" s="1"/>
  <c r="N120" i="1"/>
  <c r="I120" i="1"/>
  <c r="J120" i="1" s="1"/>
  <c r="K120" i="1" s="1"/>
  <c r="AP119" i="1"/>
  <c r="AO119" i="1"/>
  <c r="AQ119" i="1" s="1"/>
  <c r="Z119" i="1"/>
  <c r="AI119" i="1" s="1"/>
  <c r="AK119" i="1" s="1"/>
  <c r="Y119" i="1"/>
  <c r="AH119" i="1" s="1"/>
  <c r="X119" i="1"/>
  <c r="W119" i="1"/>
  <c r="T119" i="1"/>
  <c r="S119" i="1"/>
  <c r="P119" i="1"/>
  <c r="N119" i="1"/>
  <c r="J119" i="1"/>
  <c r="I119" i="1"/>
  <c r="AP118" i="1"/>
  <c r="AO118" i="1"/>
  <c r="AQ118" i="1" s="1"/>
  <c r="AI118" i="1"/>
  <c r="AH118" i="1"/>
  <c r="AB118" i="1"/>
  <c r="AA118" i="1"/>
  <c r="AG118" i="1" s="1"/>
  <c r="Z118" i="1"/>
  <c r="Y118" i="1"/>
  <c r="W118" i="1"/>
  <c r="S118" i="1"/>
  <c r="P118" i="1"/>
  <c r="X118" i="1" s="1"/>
  <c r="N118" i="1"/>
  <c r="K118" i="1"/>
  <c r="I118" i="1"/>
  <c r="J118" i="1" s="1"/>
  <c r="Q118" i="1" s="1"/>
  <c r="AP117" i="1"/>
  <c r="AO117" i="1"/>
  <c r="AQ117" i="1" s="1"/>
  <c r="AK117" i="1"/>
  <c r="AI117" i="1"/>
  <c r="AB117" i="1"/>
  <c r="AD117" i="1" s="1"/>
  <c r="Z117" i="1"/>
  <c r="Y117" i="1"/>
  <c r="W117" i="1"/>
  <c r="S117" i="1"/>
  <c r="P117" i="1"/>
  <c r="N117" i="1"/>
  <c r="J117" i="1"/>
  <c r="I117" i="1"/>
  <c r="AP116" i="1"/>
  <c r="AO116" i="1"/>
  <c r="AQ116" i="1" s="1"/>
  <c r="AN116" i="1"/>
  <c r="AI116" i="1"/>
  <c r="AK116" i="1" s="1"/>
  <c r="AB116" i="1"/>
  <c r="AD116" i="1" s="1"/>
  <c r="Z116" i="1"/>
  <c r="Y116" i="1"/>
  <c r="AH116" i="1" s="1"/>
  <c r="X116" i="1"/>
  <c r="W116" i="1"/>
  <c r="T116" i="1"/>
  <c r="S116" i="1"/>
  <c r="P116" i="1"/>
  <c r="N116" i="1"/>
  <c r="K116" i="1"/>
  <c r="V116" i="1" s="1"/>
  <c r="I116" i="1"/>
  <c r="J116" i="1" s="1"/>
  <c r="Q116" i="1" s="1"/>
  <c r="AP115" i="1"/>
  <c r="AO115" i="1"/>
  <c r="AQ115" i="1" s="1"/>
  <c r="AI115" i="1"/>
  <c r="AK115" i="1" s="1"/>
  <c r="AB115" i="1"/>
  <c r="AD115" i="1" s="1"/>
  <c r="Z115" i="1"/>
  <c r="Y115" i="1"/>
  <c r="X115" i="1"/>
  <c r="W115" i="1"/>
  <c r="T115" i="1"/>
  <c r="S115" i="1"/>
  <c r="P115" i="1"/>
  <c r="N115" i="1"/>
  <c r="J115" i="1"/>
  <c r="K115" i="1" s="1"/>
  <c r="R115" i="1" s="1"/>
  <c r="I115" i="1"/>
  <c r="AP114" i="1"/>
  <c r="AO114" i="1"/>
  <c r="AK114" i="1"/>
  <c r="AI114" i="1"/>
  <c r="AB114" i="1"/>
  <c r="AD114" i="1" s="1"/>
  <c r="Z114" i="1"/>
  <c r="Y114" i="1"/>
  <c r="AH114" i="1" s="1"/>
  <c r="X114" i="1"/>
  <c r="W114" i="1"/>
  <c r="T114" i="1"/>
  <c r="S114" i="1"/>
  <c r="P114" i="1"/>
  <c r="N114" i="1"/>
  <c r="I114" i="1"/>
  <c r="J114" i="1" s="1"/>
  <c r="AP113" i="1"/>
  <c r="AO113" i="1"/>
  <c r="AQ113" i="1" s="1"/>
  <c r="Z113" i="1"/>
  <c r="AI113" i="1" s="1"/>
  <c r="AK113" i="1" s="1"/>
  <c r="Y113" i="1"/>
  <c r="X113" i="1"/>
  <c r="W113" i="1"/>
  <c r="T113" i="1"/>
  <c r="S113" i="1"/>
  <c r="P113" i="1"/>
  <c r="N113" i="1"/>
  <c r="J113" i="1"/>
  <c r="U113" i="1" s="1"/>
  <c r="I113" i="1"/>
  <c r="AP112" i="1"/>
  <c r="AO112" i="1"/>
  <c r="AQ112" i="1" s="1"/>
  <c r="AI112" i="1"/>
  <c r="AB112" i="1"/>
  <c r="AD112" i="1" s="1"/>
  <c r="Z112" i="1"/>
  <c r="Y112" i="1"/>
  <c r="AH112" i="1" s="1"/>
  <c r="X112" i="1"/>
  <c r="W112" i="1"/>
  <c r="T112" i="1"/>
  <c r="S112" i="1"/>
  <c r="P112" i="1"/>
  <c r="AK112" i="1" s="1"/>
  <c r="N112" i="1"/>
  <c r="I112" i="1"/>
  <c r="J112" i="1" s="1"/>
  <c r="AP111" i="1"/>
  <c r="AO111" i="1"/>
  <c r="AQ111" i="1" s="1"/>
  <c r="AI111" i="1"/>
  <c r="AB111" i="1"/>
  <c r="AD111" i="1" s="1"/>
  <c r="Z111" i="1"/>
  <c r="Y111" i="1"/>
  <c r="W111" i="1"/>
  <c r="S111" i="1"/>
  <c r="P111" i="1"/>
  <c r="N111" i="1"/>
  <c r="I111" i="1"/>
  <c r="J111" i="1" s="1"/>
  <c r="AP110" i="1"/>
  <c r="AO110" i="1"/>
  <c r="AQ110" i="1" s="1"/>
  <c r="AK110" i="1"/>
  <c r="AI110" i="1"/>
  <c r="AB110" i="1"/>
  <c r="AD110" i="1" s="1"/>
  <c r="Z110" i="1"/>
  <c r="Y110" i="1"/>
  <c r="AH110" i="1" s="1"/>
  <c r="AN110" i="1" s="1"/>
  <c r="X110" i="1"/>
  <c r="W110" i="1"/>
  <c r="U110" i="1"/>
  <c r="S110" i="1"/>
  <c r="R110" i="1"/>
  <c r="P110" i="1"/>
  <c r="T110" i="1" s="1"/>
  <c r="N110" i="1"/>
  <c r="K110" i="1"/>
  <c r="V110" i="1" s="1"/>
  <c r="I110" i="1"/>
  <c r="J110" i="1" s="1"/>
  <c r="Q110" i="1" s="1"/>
  <c r="AP109" i="1"/>
  <c r="AO109" i="1"/>
  <c r="AQ109" i="1" s="1"/>
  <c r="AI109" i="1"/>
  <c r="AH109" i="1"/>
  <c r="Z109" i="1"/>
  <c r="AB109" i="1" s="1"/>
  <c r="AD109" i="1" s="1"/>
  <c r="Y109" i="1"/>
  <c r="AA109" i="1" s="1"/>
  <c r="X109" i="1"/>
  <c r="W109" i="1"/>
  <c r="U109" i="1"/>
  <c r="T109" i="1"/>
  <c r="S109" i="1"/>
  <c r="Q109" i="1"/>
  <c r="N109" i="1"/>
  <c r="J109" i="1"/>
  <c r="K109" i="1" s="1"/>
  <c r="I109" i="1"/>
  <c r="AQ108" i="1"/>
  <c r="AP108" i="1"/>
  <c r="AO108" i="1"/>
  <c r="AJ108" i="1"/>
  <c r="AH108" i="1"/>
  <c r="AA108" i="1"/>
  <c r="Z108" i="1"/>
  <c r="AB108" i="1" s="1"/>
  <c r="AD108" i="1" s="1"/>
  <c r="Y108" i="1"/>
  <c r="X108" i="1"/>
  <c r="W108" i="1"/>
  <c r="U108" i="1"/>
  <c r="T108" i="1"/>
  <c r="S108" i="1"/>
  <c r="N108" i="1"/>
  <c r="K108" i="1"/>
  <c r="V108" i="1" s="1"/>
  <c r="J108" i="1"/>
  <c r="I108" i="1"/>
  <c r="AQ107" i="1"/>
  <c r="AP107" i="1"/>
  <c r="AO107" i="1"/>
  <c r="AB107" i="1"/>
  <c r="AD107" i="1" s="1"/>
  <c r="Z107" i="1"/>
  <c r="AI107" i="1" s="1"/>
  <c r="AK107" i="1" s="1"/>
  <c r="Y107" i="1"/>
  <c r="AA107" i="1" s="1"/>
  <c r="W107" i="1"/>
  <c r="S107" i="1"/>
  <c r="P107" i="1"/>
  <c r="N107" i="1"/>
  <c r="J107" i="1"/>
  <c r="I107" i="1"/>
  <c r="AP106" i="1"/>
  <c r="AO106" i="1"/>
  <c r="AQ106" i="1" s="1"/>
  <c r="AH106" i="1"/>
  <c r="AC106" i="1"/>
  <c r="AE106" i="1" s="1"/>
  <c r="AA106" i="1"/>
  <c r="AG106" i="1" s="1"/>
  <c r="Z106" i="1"/>
  <c r="AB106" i="1" s="1"/>
  <c r="AD106" i="1" s="1"/>
  <c r="Y106" i="1"/>
  <c r="X106" i="1"/>
  <c r="W106" i="1"/>
  <c r="T106" i="1"/>
  <c r="S106" i="1"/>
  <c r="P106" i="1"/>
  <c r="N106" i="1"/>
  <c r="I106" i="1"/>
  <c r="J106" i="1" s="1"/>
  <c r="AP105" i="1"/>
  <c r="AO105" i="1"/>
  <c r="AQ105" i="1" s="1"/>
  <c r="AH105" i="1"/>
  <c r="AG105" i="1"/>
  <c r="AB105" i="1"/>
  <c r="AF105" i="1" s="1"/>
  <c r="AA105" i="1"/>
  <c r="AC105" i="1" s="1"/>
  <c r="Z105" i="1"/>
  <c r="AI105" i="1" s="1"/>
  <c r="AK105" i="1" s="1"/>
  <c r="Y105" i="1"/>
  <c r="W105" i="1"/>
  <c r="U105" i="1"/>
  <c r="T105" i="1"/>
  <c r="S105" i="1"/>
  <c r="Q105" i="1"/>
  <c r="P105" i="1"/>
  <c r="X105" i="1" s="1"/>
  <c r="N105" i="1"/>
  <c r="K105" i="1"/>
  <c r="V105" i="1" s="1"/>
  <c r="J105" i="1"/>
  <c r="I105" i="1"/>
  <c r="AP104" i="1"/>
  <c r="AO104" i="1"/>
  <c r="Z104" i="1"/>
  <c r="Y104" i="1"/>
  <c r="AA104" i="1" s="1"/>
  <c r="X104" i="1"/>
  <c r="W104" i="1"/>
  <c r="S104" i="1"/>
  <c r="P104" i="1"/>
  <c r="T104" i="1" s="1"/>
  <c r="N104" i="1"/>
  <c r="I104" i="1"/>
  <c r="J104" i="1" s="1"/>
  <c r="AQ103" i="1"/>
  <c r="AP103" i="1"/>
  <c r="AO103" i="1"/>
  <c r="Z103" i="1"/>
  <c r="AB103" i="1" s="1"/>
  <c r="AD103" i="1" s="1"/>
  <c r="Y103" i="1"/>
  <c r="X103" i="1"/>
  <c r="W103" i="1"/>
  <c r="T103" i="1"/>
  <c r="S103" i="1"/>
  <c r="P103" i="1"/>
  <c r="N103" i="1"/>
  <c r="K103" i="1"/>
  <c r="J103" i="1"/>
  <c r="U103" i="1" s="1"/>
  <c r="I103" i="1"/>
  <c r="AP102" i="1"/>
  <c r="AO102" i="1"/>
  <c r="AI102" i="1"/>
  <c r="AK102" i="1" s="1"/>
  <c r="AH102" i="1"/>
  <c r="AG102" i="1"/>
  <c r="AF102" i="1"/>
  <c r="AB102" i="1"/>
  <c r="AD102" i="1" s="1"/>
  <c r="AA102" i="1"/>
  <c r="AC102" i="1" s="1"/>
  <c r="AE102" i="1" s="1"/>
  <c r="Z102" i="1"/>
  <c r="Y102" i="1"/>
  <c r="W102" i="1"/>
  <c r="U102" i="1"/>
  <c r="T102" i="1"/>
  <c r="S102" i="1"/>
  <c r="R102" i="1"/>
  <c r="P102" i="1"/>
  <c r="X102" i="1" s="1"/>
  <c r="N102" i="1"/>
  <c r="K102" i="1"/>
  <c r="V102" i="1" s="1"/>
  <c r="J102" i="1"/>
  <c r="Q102" i="1" s="1"/>
  <c r="I102" i="1"/>
  <c r="AQ101" i="1"/>
  <c r="AP101" i="1"/>
  <c r="AO101" i="1"/>
  <c r="AI101" i="1"/>
  <c r="AD101" i="1"/>
  <c r="Z101" i="1"/>
  <c r="AB101" i="1" s="1"/>
  <c r="Y101" i="1"/>
  <c r="W101" i="1"/>
  <c r="S101" i="1"/>
  <c r="P101" i="1"/>
  <c r="N101" i="1"/>
  <c r="I101" i="1"/>
  <c r="J101" i="1" s="1"/>
  <c r="AP100" i="1"/>
  <c r="AO100" i="1"/>
  <c r="Z100" i="1"/>
  <c r="AB100" i="1" s="1"/>
  <c r="AD100" i="1" s="1"/>
  <c r="Y100" i="1"/>
  <c r="AH100" i="1" s="1"/>
  <c r="X100" i="1"/>
  <c r="W100" i="1"/>
  <c r="T100" i="1"/>
  <c r="S100" i="1"/>
  <c r="P100" i="1"/>
  <c r="N100" i="1"/>
  <c r="K100" i="1"/>
  <c r="R100" i="1" s="1"/>
  <c r="I100" i="1"/>
  <c r="J100" i="1" s="1"/>
  <c r="AP99" i="1"/>
  <c r="AO99" i="1"/>
  <c r="AQ99" i="1" s="1"/>
  <c r="Z99" i="1"/>
  <c r="AI99" i="1" s="1"/>
  <c r="AK99" i="1" s="1"/>
  <c r="Y99" i="1"/>
  <c r="AH99" i="1" s="1"/>
  <c r="AM99" i="1" s="1"/>
  <c r="W99" i="1"/>
  <c r="S99" i="1"/>
  <c r="Q99" i="1"/>
  <c r="P99" i="1"/>
  <c r="X99" i="1" s="1"/>
  <c r="N99" i="1"/>
  <c r="K99" i="1"/>
  <c r="J99" i="1"/>
  <c r="U99" i="1" s="1"/>
  <c r="I99" i="1"/>
  <c r="AP98" i="1"/>
  <c r="AO98" i="1"/>
  <c r="AI98" i="1"/>
  <c r="AK98" i="1" s="1"/>
  <c r="AB98" i="1"/>
  <c r="AD98" i="1" s="1"/>
  <c r="Z98" i="1"/>
  <c r="Y98" i="1"/>
  <c r="X98" i="1"/>
  <c r="W98" i="1"/>
  <c r="U98" i="1"/>
  <c r="S98" i="1"/>
  <c r="P98" i="1"/>
  <c r="T98" i="1" s="1"/>
  <c r="N98" i="1"/>
  <c r="I98" i="1"/>
  <c r="J98" i="1" s="1"/>
  <c r="AP97" i="1"/>
  <c r="AQ97" i="1" s="1"/>
  <c r="AO97" i="1"/>
  <c r="AI97" i="1"/>
  <c r="AK97" i="1" s="1"/>
  <c r="Z97" i="1"/>
  <c r="AB97" i="1" s="1"/>
  <c r="AD97" i="1" s="1"/>
  <c r="Y97" i="1"/>
  <c r="AH97" i="1" s="1"/>
  <c r="X97" i="1"/>
  <c r="W97" i="1"/>
  <c r="T97" i="1"/>
  <c r="S97" i="1"/>
  <c r="P97" i="1"/>
  <c r="N97" i="1"/>
  <c r="J97" i="1"/>
  <c r="I97" i="1"/>
  <c r="AP96" i="1"/>
  <c r="AO96" i="1"/>
  <c r="AQ96" i="1" s="1"/>
  <c r="Z96" i="1"/>
  <c r="AI96" i="1" s="1"/>
  <c r="Y96" i="1"/>
  <c r="AH96" i="1" s="1"/>
  <c r="W96" i="1"/>
  <c r="S96" i="1"/>
  <c r="P96" i="1"/>
  <c r="X96" i="1" s="1"/>
  <c r="N96" i="1"/>
  <c r="J96" i="1"/>
  <c r="I96" i="1"/>
  <c r="AQ95" i="1"/>
  <c r="AP95" i="1"/>
  <c r="AO95" i="1"/>
  <c r="AI95" i="1"/>
  <c r="AD95" i="1"/>
  <c r="AC95" i="1"/>
  <c r="AE95" i="1" s="1"/>
  <c r="AB95" i="1"/>
  <c r="Z95" i="1"/>
  <c r="Y95" i="1"/>
  <c r="AA95" i="1" s="1"/>
  <c r="W95" i="1"/>
  <c r="S95" i="1"/>
  <c r="Q95" i="1"/>
  <c r="P95" i="1"/>
  <c r="N95" i="1"/>
  <c r="I95" i="1"/>
  <c r="J95" i="1" s="1"/>
  <c r="K95" i="1" s="1"/>
  <c r="AP94" i="1"/>
  <c r="AO94" i="1"/>
  <c r="AQ94" i="1" s="1"/>
  <c r="AH94" i="1"/>
  <c r="AA94" i="1"/>
  <c r="Z94" i="1"/>
  <c r="AB94" i="1" s="1"/>
  <c r="AD94" i="1" s="1"/>
  <c r="Y94" i="1"/>
  <c r="X94" i="1"/>
  <c r="W94" i="1"/>
  <c r="U94" i="1"/>
  <c r="T94" i="1"/>
  <c r="S94" i="1"/>
  <c r="P94" i="1"/>
  <c r="N94" i="1"/>
  <c r="K94" i="1"/>
  <c r="J94" i="1"/>
  <c r="Q94" i="1" s="1"/>
  <c r="I94" i="1"/>
  <c r="AQ93" i="1"/>
  <c r="AP93" i="1"/>
  <c r="AO93" i="1"/>
  <c r="AB93" i="1"/>
  <c r="AD93" i="1" s="1"/>
  <c r="Z93" i="1"/>
  <c r="AI93" i="1" s="1"/>
  <c r="Y93" i="1"/>
  <c r="W93" i="1"/>
  <c r="S93" i="1"/>
  <c r="P93" i="1"/>
  <c r="N93" i="1"/>
  <c r="J93" i="1"/>
  <c r="I93" i="1"/>
  <c r="AP92" i="1"/>
  <c r="AO92" i="1"/>
  <c r="AQ92" i="1" s="1"/>
  <c r="AI92" i="1"/>
  <c r="AK92" i="1" s="1"/>
  <c r="AH92" i="1"/>
  <c r="AB92" i="1"/>
  <c r="AD92" i="1" s="1"/>
  <c r="AA92" i="1"/>
  <c r="Z92" i="1"/>
  <c r="Y92" i="1"/>
  <c r="W92" i="1"/>
  <c r="U92" i="1"/>
  <c r="S92" i="1"/>
  <c r="P92" i="1"/>
  <c r="T92" i="1" s="1"/>
  <c r="N92" i="1"/>
  <c r="K92" i="1"/>
  <c r="J92" i="1"/>
  <c r="Q92" i="1" s="1"/>
  <c r="I92" i="1"/>
  <c r="AP91" i="1"/>
  <c r="AQ91" i="1" s="1"/>
  <c r="AO91" i="1"/>
  <c r="AH91" i="1"/>
  <c r="AG91" i="1"/>
  <c r="AC91" i="1"/>
  <c r="AA91" i="1"/>
  <c r="Z91" i="1"/>
  <c r="Y91" i="1"/>
  <c r="X91" i="1"/>
  <c r="W91" i="1"/>
  <c r="U91" i="1"/>
  <c r="T91" i="1"/>
  <c r="S91" i="1"/>
  <c r="P91" i="1"/>
  <c r="N91" i="1"/>
  <c r="K91" i="1"/>
  <c r="V91" i="1" s="1"/>
  <c r="I91" i="1"/>
  <c r="J91" i="1" s="1"/>
  <c r="Q91" i="1" s="1"/>
  <c r="AP90" i="1"/>
  <c r="AO90" i="1"/>
  <c r="AK90" i="1"/>
  <c r="AB90" i="1"/>
  <c r="AD90" i="1" s="1"/>
  <c r="Z90" i="1"/>
  <c r="AI90" i="1" s="1"/>
  <c r="Y90" i="1"/>
  <c r="AA90" i="1" s="1"/>
  <c r="AC90" i="1" s="1"/>
  <c r="AE90" i="1" s="1"/>
  <c r="W90" i="1"/>
  <c r="V90" i="1"/>
  <c r="T90" i="1"/>
  <c r="S90" i="1"/>
  <c r="R90" i="1"/>
  <c r="P90" i="1"/>
  <c r="X90" i="1" s="1"/>
  <c r="N90" i="1"/>
  <c r="K90" i="1"/>
  <c r="J90" i="1"/>
  <c r="Q90" i="1" s="1"/>
  <c r="I90" i="1"/>
  <c r="AP89" i="1"/>
  <c r="AO89" i="1"/>
  <c r="AQ89" i="1" s="1"/>
  <c r="AI89" i="1"/>
  <c r="AH89" i="1"/>
  <c r="AB89" i="1"/>
  <c r="AD89" i="1" s="1"/>
  <c r="Z89" i="1"/>
  <c r="Y89" i="1"/>
  <c r="AA89" i="1" s="1"/>
  <c r="W89" i="1"/>
  <c r="S89" i="1"/>
  <c r="P89" i="1"/>
  <c r="N89" i="1"/>
  <c r="J89" i="1"/>
  <c r="I89" i="1"/>
  <c r="AP88" i="1"/>
  <c r="AO88" i="1"/>
  <c r="AQ88" i="1" s="1"/>
  <c r="Z88" i="1"/>
  <c r="Y88" i="1"/>
  <c r="AH88" i="1" s="1"/>
  <c r="X88" i="1"/>
  <c r="W88" i="1"/>
  <c r="T88" i="1"/>
  <c r="S88" i="1"/>
  <c r="P88" i="1"/>
  <c r="N88" i="1"/>
  <c r="I88" i="1"/>
  <c r="J88" i="1" s="1"/>
  <c r="AP87" i="1"/>
  <c r="AO87" i="1"/>
  <c r="AI87" i="1"/>
  <c r="AK87" i="1" s="1"/>
  <c r="AD87" i="1"/>
  <c r="AB87" i="1"/>
  <c r="Z87" i="1"/>
  <c r="Y87" i="1"/>
  <c r="AH87" i="1" s="1"/>
  <c r="W87" i="1"/>
  <c r="U87" i="1"/>
  <c r="S87" i="1"/>
  <c r="P87" i="1"/>
  <c r="X87" i="1" s="1"/>
  <c r="N87" i="1"/>
  <c r="J87" i="1"/>
  <c r="Q87" i="1" s="1"/>
  <c r="I87" i="1"/>
  <c r="AP86" i="1"/>
  <c r="AO86" i="1"/>
  <c r="AH86" i="1"/>
  <c r="AA86" i="1"/>
  <c r="Z86" i="1"/>
  <c r="Y86" i="1"/>
  <c r="X86" i="1"/>
  <c r="W86" i="1"/>
  <c r="T86" i="1"/>
  <c r="S86" i="1"/>
  <c r="N86" i="1"/>
  <c r="I86" i="1"/>
  <c r="J86" i="1" s="1"/>
  <c r="AP85" i="1"/>
  <c r="AO85" i="1"/>
  <c r="Z85" i="1"/>
  <c r="Y85" i="1"/>
  <c r="X85" i="1"/>
  <c r="W85" i="1"/>
  <c r="T85" i="1"/>
  <c r="S85" i="1"/>
  <c r="Q85" i="1"/>
  <c r="N85" i="1"/>
  <c r="I85" i="1"/>
  <c r="J85" i="1" s="1"/>
  <c r="AQ84" i="1"/>
  <c r="AP84" i="1"/>
  <c r="AO84" i="1"/>
  <c r="AI84" i="1"/>
  <c r="AD84" i="1"/>
  <c r="AA84" i="1"/>
  <c r="Z84" i="1"/>
  <c r="AB84" i="1" s="1"/>
  <c r="Y84" i="1"/>
  <c r="AH84" i="1" s="1"/>
  <c r="W84" i="1"/>
  <c r="Q84" i="1"/>
  <c r="N84" i="1"/>
  <c r="O84" i="1" s="1"/>
  <c r="S84" i="1" s="1"/>
  <c r="K84" i="1"/>
  <c r="J84" i="1"/>
  <c r="U84" i="1" s="1"/>
  <c r="AP83" i="1"/>
  <c r="AO83" i="1"/>
  <c r="AQ83" i="1" s="1"/>
  <c r="AI83" i="1"/>
  <c r="AB83" i="1"/>
  <c r="AA83" i="1"/>
  <c r="AC83" i="1" s="1"/>
  <c r="Z83" i="1"/>
  <c r="Y83" i="1"/>
  <c r="AH83" i="1" s="1"/>
  <c r="W83" i="1"/>
  <c r="U83" i="1"/>
  <c r="S83" i="1"/>
  <c r="Q83" i="1"/>
  <c r="P83" i="1"/>
  <c r="N83" i="1"/>
  <c r="K83" i="1"/>
  <c r="I83" i="1"/>
  <c r="J83" i="1" s="1"/>
  <c r="AQ82" i="1"/>
  <c r="AP82" i="1"/>
  <c r="AO82" i="1"/>
  <c r="AI82" i="1"/>
  <c r="AK82" i="1" s="1"/>
  <c r="AD82" i="1"/>
  <c r="AB82" i="1"/>
  <c r="Z82" i="1"/>
  <c r="Y82" i="1"/>
  <c r="AA82" i="1" s="1"/>
  <c r="X82" i="1"/>
  <c r="W82" i="1"/>
  <c r="U82" i="1"/>
  <c r="S82" i="1"/>
  <c r="P82" i="1"/>
  <c r="T82" i="1" s="1"/>
  <c r="N82" i="1"/>
  <c r="I82" i="1"/>
  <c r="J82" i="1" s="1"/>
  <c r="AQ81" i="1"/>
  <c r="AP81" i="1"/>
  <c r="AO81" i="1"/>
  <c r="AI81" i="1"/>
  <c r="AD81" i="1"/>
  <c r="AB81" i="1"/>
  <c r="Z81" i="1"/>
  <c r="Y81" i="1"/>
  <c r="W81" i="1"/>
  <c r="T81" i="1"/>
  <c r="S81" i="1"/>
  <c r="P81" i="1"/>
  <c r="AK81" i="1" s="1"/>
  <c r="N81" i="1"/>
  <c r="I81" i="1"/>
  <c r="J81" i="1" s="1"/>
  <c r="U81" i="1" s="1"/>
  <c r="AQ80" i="1"/>
  <c r="AP80" i="1"/>
  <c r="AO80" i="1"/>
  <c r="Z80" i="1"/>
  <c r="AB80" i="1" s="1"/>
  <c r="AD80" i="1" s="1"/>
  <c r="Y80" i="1"/>
  <c r="AH80" i="1" s="1"/>
  <c r="X80" i="1"/>
  <c r="W80" i="1"/>
  <c r="S80" i="1"/>
  <c r="P80" i="1"/>
  <c r="T80" i="1" s="1"/>
  <c r="N80" i="1"/>
  <c r="I80" i="1"/>
  <c r="J80" i="1" s="1"/>
  <c r="AQ79" i="1"/>
  <c r="AP79" i="1"/>
  <c r="AO79" i="1"/>
  <c r="AI79" i="1"/>
  <c r="AK79" i="1" s="1"/>
  <c r="AD79" i="1"/>
  <c r="AB79" i="1"/>
  <c r="Z79" i="1"/>
  <c r="Y79" i="1"/>
  <c r="AH79" i="1" s="1"/>
  <c r="X79" i="1"/>
  <c r="W79" i="1"/>
  <c r="U79" i="1"/>
  <c r="T79" i="1"/>
  <c r="S79" i="1"/>
  <c r="Q79" i="1"/>
  <c r="N79" i="1"/>
  <c r="K79" i="1"/>
  <c r="V79" i="1" s="1"/>
  <c r="I79" i="1"/>
  <c r="J79" i="1" s="1"/>
  <c r="AQ78" i="1"/>
  <c r="AP78" i="1"/>
  <c r="AO78" i="1"/>
  <c r="AI78" i="1"/>
  <c r="AK78" i="1" s="1"/>
  <c r="AF78" i="1"/>
  <c r="AD78" i="1"/>
  <c r="AB78" i="1"/>
  <c r="Z78" i="1"/>
  <c r="Y78" i="1"/>
  <c r="AA78" i="1" s="1"/>
  <c r="W78" i="1"/>
  <c r="T78" i="1"/>
  <c r="S78" i="1"/>
  <c r="P78" i="1"/>
  <c r="X78" i="1" s="1"/>
  <c r="N78" i="1"/>
  <c r="I78" i="1"/>
  <c r="J78" i="1" s="1"/>
  <c r="AQ77" i="1"/>
  <c r="AP77" i="1"/>
  <c r="AO77" i="1"/>
  <c r="AH77" i="1"/>
  <c r="AA77" i="1"/>
  <c r="Z77" i="1"/>
  <c r="Y77" i="1"/>
  <c r="W77" i="1"/>
  <c r="U77" i="1"/>
  <c r="S77" i="1"/>
  <c r="P77" i="1"/>
  <c r="T77" i="1" s="1"/>
  <c r="N77" i="1"/>
  <c r="I77" i="1"/>
  <c r="J77" i="1" s="1"/>
  <c r="AQ76" i="1"/>
  <c r="AP76" i="1"/>
  <c r="AO76" i="1"/>
  <c r="AH76" i="1"/>
  <c r="AD76" i="1"/>
  <c r="AB76" i="1"/>
  <c r="AA76" i="1"/>
  <c r="Z76" i="1"/>
  <c r="AI76" i="1" s="1"/>
  <c r="AK76" i="1" s="1"/>
  <c r="Y76" i="1"/>
  <c r="W76" i="1"/>
  <c r="S76" i="1"/>
  <c r="P76" i="1"/>
  <c r="X76" i="1" s="1"/>
  <c r="N76" i="1"/>
  <c r="K76" i="1"/>
  <c r="I76" i="1"/>
  <c r="J76" i="1" s="1"/>
  <c r="AQ75" i="1"/>
  <c r="AP75" i="1"/>
  <c r="AO75" i="1"/>
  <c r="AK75" i="1"/>
  <c r="AI75" i="1"/>
  <c r="AH75" i="1"/>
  <c r="AB75" i="1"/>
  <c r="AD75" i="1" s="1"/>
  <c r="AA75" i="1"/>
  <c r="Z75" i="1"/>
  <c r="Y75" i="1"/>
  <c r="X75" i="1"/>
  <c r="W75" i="1"/>
  <c r="T75" i="1"/>
  <c r="S75" i="1"/>
  <c r="P75" i="1"/>
  <c r="N75" i="1"/>
  <c r="I75" i="1"/>
  <c r="J75" i="1" s="1"/>
  <c r="AP74" i="1"/>
  <c r="AQ74" i="1" s="1"/>
  <c r="AO74" i="1"/>
  <c r="AH74" i="1"/>
  <c r="AA74" i="1"/>
  <c r="Z74" i="1"/>
  <c r="Y74" i="1"/>
  <c r="W74" i="1"/>
  <c r="S74" i="1"/>
  <c r="P74" i="1"/>
  <c r="N74" i="1"/>
  <c r="K74" i="1"/>
  <c r="I74" i="1"/>
  <c r="J74" i="1" s="1"/>
  <c r="AQ73" i="1"/>
  <c r="AP73" i="1"/>
  <c r="AO73" i="1"/>
  <c r="AI73" i="1"/>
  <c r="AK73" i="1" s="1"/>
  <c r="AH73" i="1"/>
  <c r="AA73" i="1"/>
  <c r="Z73" i="1"/>
  <c r="AB73" i="1" s="1"/>
  <c r="AD73" i="1" s="1"/>
  <c r="Y73" i="1"/>
  <c r="X73" i="1"/>
  <c r="W73" i="1"/>
  <c r="T73" i="1"/>
  <c r="S73" i="1"/>
  <c r="P73" i="1"/>
  <c r="N73" i="1"/>
  <c r="J73" i="1"/>
  <c r="I73" i="1"/>
  <c r="AP72" i="1"/>
  <c r="AQ72" i="1" s="1"/>
  <c r="AO72" i="1"/>
  <c r="Z72" i="1"/>
  <c r="Y72" i="1"/>
  <c r="AH72" i="1" s="1"/>
  <c r="W72" i="1"/>
  <c r="S72" i="1"/>
  <c r="P72" i="1"/>
  <c r="X72" i="1" s="1"/>
  <c r="N72" i="1"/>
  <c r="I72" i="1"/>
  <c r="J72" i="1" s="1"/>
  <c r="AQ71" i="1"/>
  <c r="AP71" i="1"/>
  <c r="AO71" i="1"/>
  <c r="AH71" i="1"/>
  <c r="AA71" i="1"/>
  <c r="Z71" i="1"/>
  <c r="Y71" i="1"/>
  <c r="X71" i="1"/>
  <c r="W71" i="1"/>
  <c r="T71" i="1"/>
  <c r="S71" i="1"/>
  <c r="P71" i="1"/>
  <c r="N71" i="1"/>
  <c r="I71" i="1"/>
  <c r="J71" i="1" s="1"/>
  <c r="AQ70" i="1"/>
  <c r="AP70" i="1"/>
  <c r="AO70" i="1"/>
  <c r="AH70" i="1"/>
  <c r="AB70" i="1"/>
  <c r="AD70" i="1" s="1"/>
  <c r="AA70" i="1"/>
  <c r="Z70" i="1"/>
  <c r="AI70" i="1" s="1"/>
  <c r="Y70" i="1"/>
  <c r="W70" i="1"/>
  <c r="S70" i="1"/>
  <c r="P70" i="1"/>
  <c r="N70" i="1"/>
  <c r="I70" i="1"/>
  <c r="J70" i="1" s="1"/>
  <c r="AQ69" i="1"/>
  <c r="AP69" i="1"/>
  <c r="AO69" i="1"/>
  <c r="AH69" i="1"/>
  <c r="Z69" i="1"/>
  <c r="AB69" i="1" s="1"/>
  <c r="Y69" i="1"/>
  <c r="AA69" i="1" s="1"/>
  <c r="AC69" i="1" s="1"/>
  <c r="X69" i="1"/>
  <c r="W69" i="1"/>
  <c r="U69" i="1"/>
  <c r="T69" i="1"/>
  <c r="S69" i="1"/>
  <c r="P69" i="1"/>
  <c r="N69" i="1"/>
  <c r="I69" i="1"/>
  <c r="J69" i="1" s="1"/>
  <c r="Q69" i="1" s="1"/>
  <c r="AQ68" i="1"/>
  <c r="AP68" i="1"/>
  <c r="AO68" i="1"/>
  <c r="AN68" i="1"/>
  <c r="AM68" i="1"/>
  <c r="AH68" i="1"/>
  <c r="AG68" i="1"/>
  <c r="AF68" i="1"/>
  <c r="AE68" i="1"/>
  <c r="AC68" i="1"/>
  <c r="AB68" i="1"/>
  <c r="AD68" i="1" s="1"/>
  <c r="AA68" i="1"/>
  <c r="Z68" i="1"/>
  <c r="AI68" i="1" s="1"/>
  <c r="AK68" i="1" s="1"/>
  <c r="Y68" i="1"/>
  <c r="W68" i="1"/>
  <c r="U68" i="1"/>
  <c r="T68" i="1"/>
  <c r="S68" i="1"/>
  <c r="R68" i="1"/>
  <c r="Q68" i="1"/>
  <c r="P68" i="1"/>
  <c r="X68" i="1" s="1"/>
  <c r="N68" i="1"/>
  <c r="K68" i="1"/>
  <c r="V68" i="1" s="1"/>
  <c r="I68" i="1"/>
  <c r="J68" i="1" s="1"/>
  <c r="AQ67" i="1"/>
  <c r="AP67" i="1"/>
  <c r="AO67" i="1"/>
  <c r="Z67" i="1"/>
  <c r="AB67" i="1" s="1"/>
  <c r="AD67" i="1" s="1"/>
  <c r="Y67" i="1"/>
  <c r="X67" i="1"/>
  <c r="W67" i="1"/>
  <c r="T67" i="1"/>
  <c r="S67" i="1"/>
  <c r="N67" i="1"/>
  <c r="J67" i="1"/>
  <c r="I67" i="1"/>
  <c r="AP66" i="1"/>
  <c r="AO66" i="1"/>
  <c r="AQ66" i="1" s="1"/>
  <c r="Z66" i="1"/>
  <c r="Y66" i="1"/>
  <c r="X66" i="1"/>
  <c r="W66" i="1"/>
  <c r="T66" i="1"/>
  <c r="S66" i="1"/>
  <c r="Q66" i="1"/>
  <c r="P66" i="1"/>
  <c r="N66" i="1"/>
  <c r="I66" i="1"/>
  <c r="J66" i="1" s="1"/>
  <c r="AQ65" i="1"/>
  <c r="AP65" i="1"/>
  <c r="AO65" i="1"/>
  <c r="AI65" i="1"/>
  <c r="AK65" i="1" s="1"/>
  <c r="Z65" i="1"/>
  <c r="AB65" i="1" s="1"/>
  <c r="AD65" i="1" s="1"/>
  <c r="Y65" i="1"/>
  <c r="W65" i="1"/>
  <c r="U65" i="1"/>
  <c r="T65" i="1"/>
  <c r="S65" i="1"/>
  <c r="Q65" i="1"/>
  <c r="P65" i="1"/>
  <c r="X65" i="1" s="1"/>
  <c r="N65" i="1"/>
  <c r="J65" i="1"/>
  <c r="K65" i="1" s="1"/>
  <c r="V65" i="1" s="1"/>
  <c r="I65" i="1"/>
  <c r="AQ64" i="1"/>
  <c r="AP64" i="1"/>
  <c r="AO64" i="1"/>
  <c r="AA64" i="1"/>
  <c r="Z64" i="1"/>
  <c r="AI64" i="1" s="1"/>
  <c r="AK64" i="1" s="1"/>
  <c r="Y64" i="1"/>
  <c r="AH64" i="1" s="1"/>
  <c r="X64" i="1"/>
  <c r="W64" i="1"/>
  <c r="S64" i="1"/>
  <c r="P64" i="1"/>
  <c r="T64" i="1" s="1"/>
  <c r="N64" i="1"/>
  <c r="J64" i="1"/>
  <c r="I64" i="1"/>
  <c r="AQ63" i="1"/>
  <c r="AP63" i="1"/>
  <c r="AO63" i="1"/>
  <c r="AK63" i="1"/>
  <c r="AI63" i="1"/>
  <c r="AH63" i="1"/>
  <c r="Z63" i="1"/>
  <c r="AB63" i="1" s="1"/>
  <c r="AD63" i="1" s="1"/>
  <c r="Y63" i="1"/>
  <c r="AA63" i="1" s="1"/>
  <c r="X63" i="1"/>
  <c r="W63" i="1"/>
  <c r="T63" i="1"/>
  <c r="S63" i="1"/>
  <c r="P63" i="1"/>
  <c r="N63" i="1"/>
  <c r="I63" i="1"/>
  <c r="J63" i="1" s="1"/>
  <c r="AP62" i="1"/>
  <c r="AQ62" i="1" s="1"/>
  <c r="AO62" i="1"/>
  <c r="AK62" i="1"/>
  <c r="AG62" i="1"/>
  <c r="AB62" i="1"/>
  <c r="AD62" i="1" s="1"/>
  <c r="AA62" i="1"/>
  <c r="Z62" i="1"/>
  <c r="AI62" i="1" s="1"/>
  <c r="Y62" i="1"/>
  <c r="AH62" i="1" s="1"/>
  <c r="X62" i="1"/>
  <c r="W62" i="1"/>
  <c r="T62" i="1"/>
  <c r="S62" i="1"/>
  <c r="N62" i="1"/>
  <c r="J62" i="1"/>
  <c r="I62" i="1"/>
  <c r="AQ61" i="1"/>
  <c r="AP61" i="1"/>
  <c r="AO61" i="1"/>
  <c r="AK61" i="1"/>
  <c r="AI61" i="1"/>
  <c r="AB61" i="1"/>
  <c r="AD61" i="1" s="1"/>
  <c r="Z61" i="1"/>
  <c r="Y61" i="1"/>
  <c r="AA61" i="1" s="1"/>
  <c r="X61" i="1"/>
  <c r="W61" i="1"/>
  <c r="T61" i="1"/>
  <c r="S61" i="1"/>
  <c r="P61" i="1"/>
  <c r="N61" i="1"/>
  <c r="I61" i="1"/>
  <c r="J61" i="1" s="1"/>
  <c r="AP60" i="1"/>
  <c r="AO60" i="1"/>
  <c r="AQ60" i="1" s="1"/>
  <c r="AM60" i="1"/>
  <c r="AJ60" i="1"/>
  <c r="AI60" i="1"/>
  <c r="AH60" i="1"/>
  <c r="AC60" i="1"/>
  <c r="AB60" i="1"/>
  <c r="AD60" i="1" s="1"/>
  <c r="AA60" i="1"/>
  <c r="Z60" i="1"/>
  <c r="Y60" i="1"/>
  <c r="W60" i="1"/>
  <c r="U60" i="1"/>
  <c r="S60" i="1"/>
  <c r="R60" i="1"/>
  <c r="Q60" i="1"/>
  <c r="P60" i="1"/>
  <c r="T60" i="1" s="1"/>
  <c r="N60" i="1"/>
  <c r="I60" i="1"/>
  <c r="J60" i="1" s="1"/>
  <c r="K60" i="1" s="1"/>
  <c r="V60" i="1" s="1"/>
  <c r="AP59" i="1"/>
  <c r="AO59" i="1"/>
  <c r="AQ59" i="1" s="1"/>
  <c r="AI59" i="1"/>
  <c r="AK59" i="1" s="1"/>
  <c r="AC59" i="1"/>
  <c r="AE59" i="1" s="1"/>
  <c r="AB59" i="1"/>
  <c r="AD59" i="1" s="1"/>
  <c r="AA59" i="1"/>
  <c r="Z59" i="1"/>
  <c r="Y59" i="1"/>
  <c r="AH59" i="1" s="1"/>
  <c r="X59" i="1"/>
  <c r="W59" i="1"/>
  <c r="T59" i="1"/>
  <c r="S59" i="1"/>
  <c r="P59" i="1"/>
  <c r="N59" i="1"/>
  <c r="J59" i="1"/>
  <c r="U59" i="1" s="1"/>
  <c r="I59" i="1"/>
  <c r="AQ58" i="1"/>
  <c r="AP58" i="1"/>
  <c r="AO58" i="1"/>
  <c r="AI58" i="1"/>
  <c r="AK58" i="1" s="1"/>
  <c r="AG58" i="1"/>
  <c r="AB58" i="1"/>
  <c r="AD58" i="1" s="1"/>
  <c r="Z58" i="1"/>
  <c r="Y58" i="1"/>
  <c r="AA58" i="1" s="1"/>
  <c r="X58" i="1"/>
  <c r="W58" i="1"/>
  <c r="T58" i="1"/>
  <c r="S58" i="1"/>
  <c r="P58" i="1"/>
  <c r="N58" i="1"/>
  <c r="I58" i="1"/>
  <c r="J58" i="1" s="1"/>
  <c r="U58" i="1" s="1"/>
  <c r="AQ57" i="1"/>
  <c r="AP57" i="1"/>
  <c r="AO57" i="1"/>
  <c r="AI57" i="1"/>
  <c r="AH57" i="1"/>
  <c r="AB57" i="1"/>
  <c r="AD57" i="1" s="1"/>
  <c r="AA57" i="1"/>
  <c r="Z57" i="1"/>
  <c r="Y57" i="1"/>
  <c r="X57" i="1"/>
  <c r="W57" i="1"/>
  <c r="S57" i="1"/>
  <c r="Q57" i="1"/>
  <c r="P57" i="1"/>
  <c r="T57" i="1" s="1"/>
  <c r="N57" i="1"/>
  <c r="I57" i="1"/>
  <c r="J57" i="1" s="1"/>
  <c r="AC57" i="1" s="1"/>
  <c r="AP56" i="1"/>
  <c r="AQ56" i="1" s="1"/>
  <c r="AO56" i="1"/>
  <c r="AI56" i="1"/>
  <c r="AK56" i="1" s="1"/>
  <c r="AH56" i="1"/>
  <c r="AA56" i="1"/>
  <c r="Z56" i="1"/>
  <c r="AB56" i="1" s="1"/>
  <c r="AD56" i="1" s="1"/>
  <c r="Y56" i="1"/>
  <c r="W56" i="1"/>
  <c r="S56" i="1"/>
  <c r="Q56" i="1"/>
  <c r="P56" i="1"/>
  <c r="X56" i="1" s="1"/>
  <c r="N56" i="1"/>
  <c r="J56" i="1"/>
  <c r="I56" i="1"/>
  <c r="AP55" i="1"/>
  <c r="AQ55" i="1" s="1"/>
  <c r="AO55" i="1"/>
  <c r="AD55" i="1"/>
  <c r="AB55" i="1"/>
  <c r="Z55" i="1"/>
  <c r="AI55" i="1" s="1"/>
  <c r="AK55" i="1" s="1"/>
  <c r="Y55" i="1"/>
  <c r="AH55" i="1" s="1"/>
  <c r="X55" i="1"/>
  <c r="W55" i="1"/>
  <c r="T55" i="1"/>
  <c r="S55" i="1"/>
  <c r="P55" i="1"/>
  <c r="N55" i="1"/>
  <c r="I55" i="1"/>
  <c r="J55" i="1" s="1"/>
  <c r="AP54" i="1"/>
  <c r="AQ54" i="1" s="1"/>
  <c r="AO54" i="1"/>
  <c r="AI54" i="1"/>
  <c r="AH54" i="1"/>
  <c r="AG54" i="1"/>
  <c r="AC54" i="1"/>
  <c r="AA54" i="1"/>
  <c r="Z54" i="1"/>
  <c r="AB54" i="1" s="1"/>
  <c r="AD54" i="1" s="1"/>
  <c r="AE54" i="1" s="1"/>
  <c r="Y54" i="1"/>
  <c r="X54" i="1"/>
  <c r="W54" i="1"/>
  <c r="U54" i="1"/>
  <c r="T54" i="1"/>
  <c r="S54" i="1"/>
  <c r="Q54" i="1"/>
  <c r="P54" i="1"/>
  <c r="N54" i="1"/>
  <c r="K54" i="1"/>
  <c r="V54" i="1" s="1"/>
  <c r="I54" i="1"/>
  <c r="J54" i="1" s="1"/>
  <c r="AP53" i="1"/>
  <c r="AO53" i="1"/>
  <c r="AQ53" i="1" s="1"/>
  <c r="AB53" i="1"/>
  <c r="AD53" i="1" s="1"/>
  <c r="AA53" i="1"/>
  <c r="Z53" i="1"/>
  <c r="AI53" i="1" s="1"/>
  <c r="Y53" i="1"/>
  <c r="AH53" i="1" s="1"/>
  <c r="W53" i="1"/>
  <c r="S53" i="1"/>
  <c r="P53" i="1"/>
  <c r="N53" i="1"/>
  <c r="J53" i="1"/>
  <c r="AF53" i="1" s="1"/>
  <c r="I53" i="1"/>
  <c r="AP52" i="1"/>
  <c r="AQ52" i="1" s="1"/>
  <c r="AO52" i="1"/>
  <c r="AI52" i="1"/>
  <c r="AK52" i="1" s="1"/>
  <c r="AH52" i="1"/>
  <c r="AG52" i="1"/>
  <c r="AF52" i="1"/>
  <c r="AD52" i="1"/>
  <c r="Z52" i="1"/>
  <c r="AB52" i="1" s="1"/>
  <c r="Y52" i="1"/>
  <c r="AA52" i="1" s="1"/>
  <c r="AC52" i="1" s="1"/>
  <c r="AE52" i="1" s="1"/>
  <c r="X52" i="1"/>
  <c r="W52" i="1"/>
  <c r="U52" i="1"/>
  <c r="T52" i="1"/>
  <c r="S52" i="1"/>
  <c r="N52" i="1"/>
  <c r="I52" i="1"/>
  <c r="J52" i="1" s="1"/>
  <c r="AP51" i="1"/>
  <c r="AO51" i="1"/>
  <c r="AQ51" i="1" s="1"/>
  <c r="AI51" i="1"/>
  <c r="AK51" i="1" s="1"/>
  <c r="AB51" i="1"/>
  <c r="AD51" i="1" s="1"/>
  <c r="Z51" i="1"/>
  <c r="Y51" i="1"/>
  <c r="W51" i="1"/>
  <c r="S51" i="1"/>
  <c r="P51" i="1"/>
  <c r="X51" i="1" s="1"/>
  <c r="N51" i="1"/>
  <c r="J51" i="1"/>
  <c r="I51" i="1"/>
  <c r="AP50" i="1"/>
  <c r="AQ50" i="1" s="1"/>
  <c r="AO50" i="1"/>
  <c r="AI50" i="1"/>
  <c r="AH50" i="1"/>
  <c r="AB50" i="1"/>
  <c r="AD50" i="1" s="1"/>
  <c r="Z50" i="1"/>
  <c r="Y50" i="1"/>
  <c r="AA50" i="1" s="1"/>
  <c r="W50" i="1"/>
  <c r="S50" i="1"/>
  <c r="R50" i="1"/>
  <c r="P50" i="1"/>
  <c r="N50" i="1"/>
  <c r="I50" i="1"/>
  <c r="J50" i="1" s="1"/>
  <c r="K50" i="1" s="1"/>
  <c r="V50" i="1" s="1"/>
  <c r="AP49" i="1"/>
  <c r="AO49" i="1"/>
  <c r="AQ49" i="1" s="1"/>
  <c r="AH49" i="1"/>
  <c r="Z49" i="1"/>
  <c r="AB49" i="1" s="1"/>
  <c r="AD49" i="1" s="1"/>
  <c r="Y49" i="1"/>
  <c r="AA49" i="1" s="1"/>
  <c r="X49" i="1"/>
  <c r="W49" i="1"/>
  <c r="T49" i="1"/>
  <c r="S49" i="1"/>
  <c r="P49" i="1"/>
  <c r="N49" i="1"/>
  <c r="I49" i="1"/>
  <c r="J49" i="1" s="1"/>
  <c r="AP48" i="1"/>
  <c r="AO48" i="1"/>
  <c r="AQ48" i="1" s="1"/>
  <c r="AB48" i="1"/>
  <c r="AD48" i="1" s="1"/>
  <c r="Z48" i="1"/>
  <c r="AI48" i="1" s="1"/>
  <c r="Y48" i="1"/>
  <c r="W48" i="1"/>
  <c r="U48" i="1"/>
  <c r="T48" i="1"/>
  <c r="S48" i="1"/>
  <c r="Q48" i="1"/>
  <c r="P48" i="1"/>
  <c r="X48" i="1" s="1"/>
  <c r="N48" i="1"/>
  <c r="J48" i="1"/>
  <c r="K48" i="1" s="1"/>
  <c r="V48" i="1" s="1"/>
  <c r="I48" i="1"/>
  <c r="AP47" i="1"/>
  <c r="AO47" i="1"/>
  <c r="AQ47" i="1" s="1"/>
  <c r="Z47" i="1"/>
  <c r="Y47" i="1"/>
  <c r="X47" i="1"/>
  <c r="W47" i="1"/>
  <c r="S47" i="1"/>
  <c r="P47" i="1"/>
  <c r="T47" i="1" s="1"/>
  <c r="N47" i="1"/>
  <c r="I47" i="1"/>
  <c r="J47" i="1" s="1"/>
  <c r="K47" i="1" s="1"/>
  <c r="AP46" i="1"/>
  <c r="AO46" i="1"/>
  <c r="AQ46" i="1" s="1"/>
  <c r="AK46" i="1"/>
  <c r="AI46" i="1"/>
  <c r="AH46" i="1"/>
  <c r="AD46" i="1"/>
  <c r="AA46" i="1"/>
  <c r="AG46" i="1" s="1"/>
  <c r="Z46" i="1"/>
  <c r="AB46" i="1" s="1"/>
  <c r="Y46" i="1"/>
  <c r="X46" i="1"/>
  <c r="W46" i="1"/>
  <c r="U46" i="1"/>
  <c r="T46" i="1"/>
  <c r="S46" i="1"/>
  <c r="P46" i="1"/>
  <c r="N46" i="1"/>
  <c r="I46" i="1"/>
  <c r="J46" i="1" s="1"/>
  <c r="AP45" i="1"/>
  <c r="AO45" i="1"/>
  <c r="AQ45" i="1" s="1"/>
  <c r="Z45" i="1"/>
  <c r="Y45" i="1"/>
  <c r="AH45" i="1" s="1"/>
  <c r="W45" i="1"/>
  <c r="U45" i="1"/>
  <c r="S45" i="1"/>
  <c r="P45" i="1"/>
  <c r="X45" i="1" s="1"/>
  <c r="N45" i="1"/>
  <c r="I45" i="1"/>
  <c r="J45" i="1" s="1"/>
  <c r="AQ44" i="1"/>
  <c r="AP44" i="1"/>
  <c r="AO44" i="1"/>
  <c r="AH44" i="1"/>
  <c r="AC44" i="1"/>
  <c r="AA44" i="1"/>
  <c r="AG44" i="1" s="1"/>
  <c r="Z44" i="1"/>
  <c r="Y44" i="1"/>
  <c r="X44" i="1"/>
  <c r="W44" i="1"/>
  <c r="U44" i="1"/>
  <c r="T44" i="1"/>
  <c r="S44" i="1"/>
  <c r="Q44" i="1"/>
  <c r="P44" i="1"/>
  <c r="N44" i="1"/>
  <c r="K44" i="1"/>
  <c r="J44" i="1"/>
  <c r="I44" i="1"/>
  <c r="AQ43" i="1"/>
  <c r="AP43" i="1"/>
  <c r="AO43" i="1"/>
  <c r="AI43" i="1"/>
  <c r="AK43" i="1" s="1"/>
  <c r="AH43" i="1"/>
  <c r="AB43" i="1"/>
  <c r="AD43" i="1" s="1"/>
  <c r="Z43" i="1"/>
  <c r="Y43" i="1"/>
  <c r="AA43" i="1" s="1"/>
  <c r="X43" i="1"/>
  <c r="W43" i="1"/>
  <c r="T43" i="1"/>
  <c r="S43" i="1"/>
  <c r="N43" i="1"/>
  <c r="I43" i="1"/>
  <c r="J43" i="1" s="1"/>
  <c r="AC43" i="1" s="1"/>
  <c r="AE43" i="1" s="1"/>
  <c r="AP42" i="1"/>
  <c r="AO42" i="1"/>
  <c r="AQ42" i="1" s="1"/>
  <c r="AI42" i="1"/>
  <c r="AK42" i="1" s="1"/>
  <c r="AH42" i="1"/>
  <c r="AD42" i="1"/>
  <c r="Z42" i="1"/>
  <c r="AB42" i="1" s="1"/>
  <c r="Y42" i="1"/>
  <c r="AA42" i="1" s="1"/>
  <c r="X42" i="1"/>
  <c r="W42" i="1"/>
  <c r="U42" i="1"/>
  <c r="T42" i="1"/>
  <c r="S42" i="1"/>
  <c r="P42" i="1"/>
  <c r="N42" i="1"/>
  <c r="I42" i="1"/>
  <c r="J42" i="1" s="1"/>
  <c r="K42" i="1" s="1"/>
  <c r="AP41" i="1"/>
  <c r="AO41" i="1"/>
  <c r="AQ41" i="1" s="1"/>
  <c r="Z41" i="1"/>
  <c r="AI41" i="1" s="1"/>
  <c r="AK41" i="1" s="1"/>
  <c r="Y41" i="1"/>
  <c r="AA41" i="1" s="1"/>
  <c r="X41" i="1"/>
  <c r="W41" i="1"/>
  <c r="U41" i="1"/>
  <c r="T41" i="1"/>
  <c r="S41" i="1"/>
  <c r="N41" i="1"/>
  <c r="I41" i="1"/>
  <c r="J41" i="1" s="1"/>
  <c r="AP40" i="1"/>
  <c r="AO40" i="1"/>
  <c r="AQ40" i="1" s="1"/>
  <c r="AA40" i="1"/>
  <c r="Z40" i="1"/>
  <c r="Y40" i="1"/>
  <c r="AH40" i="1" s="1"/>
  <c r="W40" i="1"/>
  <c r="S40" i="1"/>
  <c r="P40" i="1"/>
  <c r="N40" i="1"/>
  <c r="J40" i="1"/>
  <c r="U40" i="1" s="1"/>
  <c r="I40" i="1"/>
  <c r="AQ39" i="1"/>
  <c r="AP39" i="1"/>
  <c r="AO39" i="1"/>
  <c r="AI39" i="1"/>
  <c r="AB39" i="1"/>
  <c r="AD39" i="1" s="1"/>
  <c r="Z39" i="1"/>
  <c r="Y39" i="1"/>
  <c r="AA39" i="1" s="1"/>
  <c r="X39" i="1"/>
  <c r="W39" i="1"/>
  <c r="S39" i="1"/>
  <c r="P39" i="1"/>
  <c r="T39" i="1" s="1"/>
  <c r="N39" i="1"/>
  <c r="J39" i="1"/>
  <c r="I39" i="1"/>
  <c r="AP38" i="1"/>
  <c r="AQ38" i="1" s="1"/>
  <c r="AO38" i="1"/>
  <c r="AI38" i="1"/>
  <c r="AB38" i="1"/>
  <c r="AD38" i="1" s="1"/>
  <c r="Z38" i="1"/>
  <c r="Y38" i="1"/>
  <c r="AH38" i="1" s="1"/>
  <c r="W38" i="1"/>
  <c r="S38" i="1"/>
  <c r="P38" i="1"/>
  <c r="X38" i="1" s="1"/>
  <c r="N38" i="1"/>
  <c r="I38" i="1"/>
  <c r="J38" i="1" s="1"/>
  <c r="AP37" i="1"/>
  <c r="AO37" i="1"/>
  <c r="AQ37" i="1" s="1"/>
  <c r="AA37" i="1"/>
  <c r="AC37" i="1" s="1"/>
  <c r="Z37" i="1"/>
  <c r="Y37" i="1"/>
  <c r="AH37" i="1" s="1"/>
  <c r="AN37" i="1" s="1"/>
  <c r="W37" i="1"/>
  <c r="U37" i="1"/>
  <c r="T37" i="1"/>
  <c r="S37" i="1"/>
  <c r="Q37" i="1"/>
  <c r="P37" i="1"/>
  <c r="X37" i="1" s="1"/>
  <c r="N37" i="1"/>
  <c r="I37" i="1"/>
  <c r="J37" i="1" s="1"/>
  <c r="K37" i="1" s="1"/>
  <c r="AP36" i="1"/>
  <c r="AO36" i="1"/>
  <c r="AQ36" i="1" s="1"/>
  <c r="AK36" i="1"/>
  <c r="AI36" i="1"/>
  <c r="AH36" i="1"/>
  <c r="AB36" i="1"/>
  <c r="AD36" i="1" s="1"/>
  <c r="Z36" i="1"/>
  <c r="Y36" i="1"/>
  <c r="AA36" i="1" s="1"/>
  <c r="X36" i="1"/>
  <c r="W36" i="1"/>
  <c r="T36" i="1"/>
  <c r="S36" i="1"/>
  <c r="P36" i="1"/>
  <c r="N36" i="1"/>
  <c r="I36" i="1"/>
  <c r="J36" i="1" s="1"/>
  <c r="AC36" i="1" s="1"/>
  <c r="AE36" i="1" s="1"/>
  <c r="AP35" i="1"/>
  <c r="AO35" i="1"/>
  <c r="AQ35" i="1" s="1"/>
  <c r="AI35" i="1"/>
  <c r="AB35" i="1"/>
  <c r="AD35" i="1" s="1"/>
  <c r="AA35" i="1"/>
  <c r="AG35" i="1" s="1"/>
  <c r="Z35" i="1"/>
  <c r="Y35" i="1"/>
  <c r="AH35" i="1" s="1"/>
  <c r="X35" i="1"/>
  <c r="W35" i="1"/>
  <c r="S35" i="1"/>
  <c r="P35" i="1"/>
  <c r="T35" i="1" s="1"/>
  <c r="N35" i="1"/>
  <c r="J35" i="1"/>
  <c r="I35" i="1"/>
  <c r="AP34" i="1"/>
  <c r="AO34" i="1"/>
  <c r="AQ34" i="1" s="1"/>
  <c r="AA34" i="1"/>
  <c r="Z34" i="1"/>
  <c r="Y34" i="1"/>
  <c r="AH34" i="1" s="1"/>
  <c r="W34" i="1"/>
  <c r="S34" i="1"/>
  <c r="P34" i="1"/>
  <c r="N34" i="1"/>
  <c r="I34" i="1"/>
  <c r="J34" i="1" s="1"/>
  <c r="AP33" i="1"/>
  <c r="AO33" i="1"/>
  <c r="AQ33" i="1" s="1"/>
  <c r="AI33" i="1"/>
  <c r="AK33" i="1" s="1"/>
  <c r="AH33" i="1"/>
  <c r="AC33" i="1"/>
  <c r="AE33" i="1" s="1"/>
  <c r="AB33" i="1"/>
  <c r="AD33" i="1" s="1"/>
  <c r="Z33" i="1"/>
  <c r="Y33" i="1"/>
  <c r="AA33" i="1" s="1"/>
  <c r="X33" i="1"/>
  <c r="W33" i="1"/>
  <c r="T33" i="1"/>
  <c r="S33" i="1"/>
  <c r="P33" i="1"/>
  <c r="N33" i="1"/>
  <c r="I33" i="1"/>
  <c r="J33" i="1" s="1"/>
  <c r="U33" i="1" s="1"/>
  <c r="AP32" i="1"/>
  <c r="AQ32" i="1" s="1"/>
  <c r="AO32" i="1"/>
  <c r="AK32" i="1"/>
  <c r="AI32" i="1"/>
  <c r="AB32" i="1"/>
  <c r="AD32" i="1" s="1"/>
  <c r="Z32" i="1"/>
  <c r="Y32" i="1"/>
  <c r="X32" i="1"/>
  <c r="W32" i="1"/>
  <c r="T32" i="1"/>
  <c r="S32" i="1"/>
  <c r="Q32" i="1"/>
  <c r="N32" i="1"/>
  <c r="K32" i="1"/>
  <c r="I32" i="1"/>
  <c r="J32" i="1" s="1"/>
  <c r="U32" i="1" s="1"/>
  <c r="AQ31" i="1"/>
  <c r="AP31" i="1"/>
  <c r="AO31" i="1"/>
  <c r="AK31" i="1"/>
  <c r="AB31" i="1"/>
  <c r="AD31" i="1" s="1"/>
  <c r="AA31" i="1"/>
  <c r="Z31" i="1"/>
  <c r="AI31" i="1" s="1"/>
  <c r="Y31" i="1"/>
  <c r="AH31" i="1" s="1"/>
  <c r="X31" i="1"/>
  <c r="W31" i="1"/>
  <c r="T31" i="1"/>
  <c r="S31" i="1"/>
  <c r="N31" i="1"/>
  <c r="J31" i="1"/>
  <c r="I31" i="1"/>
  <c r="AQ30" i="1"/>
  <c r="AP30" i="1"/>
  <c r="AO30" i="1"/>
  <c r="AH30" i="1"/>
  <c r="AA30" i="1"/>
  <c r="Z30" i="1"/>
  <c r="Y30" i="1"/>
  <c r="X30" i="1"/>
  <c r="W30" i="1"/>
  <c r="T30" i="1"/>
  <c r="S30" i="1"/>
  <c r="Q30" i="1"/>
  <c r="P30" i="1"/>
  <c r="N30" i="1"/>
  <c r="I30" i="1"/>
  <c r="J30" i="1" s="1"/>
  <c r="AC30" i="1" s="1"/>
  <c r="AP29" i="1"/>
  <c r="AO29" i="1"/>
  <c r="AQ29" i="1" s="1"/>
  <c r="AI29" i="1"/>
  <c r="AK29" i="1" s="1"/>
  <c r="AH29" i="1"/>
  <c r="AD29" i="1"/>
  <c r="AA29" i="1"/>
  <c r="Z29" i="1"/>
  <c r="AB29" i="1" s="1"/>
  <c r="AF29" i="1" s="1"/>
  <c r="Y29" i="1"/>
  <c r="W29" i="1"/>
  <c r="S29" i="1"/>
  <c r="Q29" i="1"/>
  <c r="P29" i="1"/>
  <c r="X29" i="1" s="1"/>
  <c r="N29" i="1"/>
  <c r="J29" i="1"/>
  <c r="U29" i="1" s="1"/>
  <c r="I29" i="1"/>
  <c r="AP28" i="1"/>
  <c r="AQ28" i="1" s="1"/>
  <c r="AO28" i="1"/>
  <c r="Z28" i="1"/>
  <c r="Y28" i="1"/>
  <c r="AH28" i="1" s="1"/>
  <c r="X28" i="1"/>
  <c r="W28" i="1"/>
  <c r="T28" i="1"/>
  <c r="S28" i="1"/>
  <c r="N28" i="1"/>
  <c r="I28" i="1"/>
  <c r="J28" i="1" s="1"/>
  <c r="AP27" i="1"/>
  <c r="AO27" i="1"/>
  <c r="AQ27" i="1" s="1"/>
  <c r="AH27" i="1"/>
  <c r="Z27" i="1"/>
  <c r="Y27" i="1"/>
  <c r="AA27" i="1" s="1"/>
  <c r="W27" i="1"/>
  <c r="T27" i="1"/>
  <c r="S27" i="1"/>
  <c r="P27" i="1"/>
  <c r="X27" i="1" s="1"/>
  <c r="N27" i="1"/>
  <c r="J27" i="1"/>
  <c r="Q27" i="1" s="1"/>
  <c r="I27" i="1"/>
  <c r="AP26" i="1"/>
  <c r="AO26" i="1"/>
  <c r="AQ26" i="1" s="1"/>
  <c r="AH26" i="1"/>
  <c r="AN26" i="1" s="1"/>
  <c r="AA26" i="1"/>
  <c r="Z26" i="1"/>
  <c r="Y26" i="1"/>
  <c r="W26" i="1"/>
  <c r="U26" i="1"/>
  <c r="T26" i="1"/>
  <c r="S26" i="1"/>
  <c r="P26" i="1"/>
  <c r="X26" i="1" s="1"/>
  <c r="N26" i="1"/>
  <c r="K26" i="1"/>
  <c r="V26" i="1" s="1"/>
  <c r="I26" i="1"/>
  <c r="J26" i="1" s="1"/>
  <c r="AP25" i="1"/>
  <c r="AO25" i="1"/>
  <c r="AQ25" i="1" s="1"/>
  <c r="AK25" i="1"/>
  <c r="AB25" i="1"/>
  <c r="AD25" i="1" s="1"/>
  <c r="Z25" i="1"/>
  <c r="AI25" i="1" s="1"/>
  <c r="Y25" i="1"/>
  <c r="AH25" i="1" s="1"/>
  <c r="X25" i="1"/>
  <c r="W25" i="1"/>
  <c r="T25" i="1"/>
  <c r="S25" i="1"/>
  <c r="N25" i="1"/>
  <c r="J25" i="1"/>
  <c r="U25" i="1" s="1"/>
  <c r="I25" i="1"/>
  <c r="AQ24" i="1"/>
  <c r="AP24" i="1"/>
  <c r="AO24" i="1"/>
  <c r="AI24" i="1"/>
  <c r="AK24" i="1" s="1"/>
  <c r="AH24" i="1"/>
  <c r="AD24" i="1"/>
  <c r="AB24" i="1"/>
  <c r="Z24" i="1"/>
  <c r="Y24" i="1"/>
  <c r="AA24" i="1" s="1"/>
  <c r="AG24" i="1" s="1"/>
  <c r="W24" i="1"/>
  <c r="T24" i="1"/>
  <c r="S24" i="1"/>
  <c r="P24" i="1"/>
  <c r="X24" i="1" s="1"/>
  <c r="N24" i="1"/>
  <c r="I24" i="1"/>
  <c r="J24" i="1" s="1"/>
  <c r="AP23" i="1"/>
  <c r="AO23" i="1"/>
  <c r="AQ23" i="1" s="1"/>
  <c r="Z23" i="1"/>
  <c r="AI23" i="1" s="1"/>
  <c r="AK23" i="1" s="1"/>
  <c r="Y23" i="1"/>
  <c r="AH23" i="1" s="1"/>
  <c r="X23" i="1"/>
  <c r="W23" i="1"/>
  <c r="S23" i="1"/>
  <c r="P23" i="1"/>
  <c r="T23" i="1" s="1"/>
  <c r="N23" i="1"/>
  <c r="I23" i="1"/>
  <c r="J23" i="1" s="1"/>
  <c r="AQ22" i="1"/>
  <c r="AP22" i="1"/>
  <c r="AO22" i="1"/>
  <c r="Z22" i="1"/>
  <c r="AB22" i="1" s="1"/>
  <c r="AD22" i="1" s="1"/>
  <c r="Y22" i="1"/>
  <c r="AA22" i="1" s="1"/>
  <c r="X22" i="1"/>
  <c r="W22" i="1"/>
  <c r="T22" i="1"/>
  <c r="S22" i="1"/>
  <c r="P22" i="1"/>
  <c r="N22" i="1"/>
  <c r="I22" i="1"/>
  <c r="J22" i="1" s="1"/>
  <c r="AP21" i="1"/>
  <c r="AO21" i="1"/>
  <c r="AQ21" i="1" s="1"/>
  <c r="AI21" i="1"/>
  <c r="AB21" i="1"/>
  <c r="AD21" i="1" s="1"/>
  <c r="Z21" i="1"/>
  <c r="Y21" i="1"/>
  <c r="AH21" i="1" s="1"/>
  <c r="W21" i="1"/>
  <c r="S21" i="1"/>
  <c r="Q21" i="1"/>
  <c r="P21" i="1"/>
  <c r="X21" i="1" s="1"/>
  <c r="N21" i="1"/>
  <c r="J21" i="1"/>
  <c r="I21" i="1"/>
  <c r="AQ20" i="1"/>
  <c r="AP20" i="1"/>
  <c r="AO20" i="1"/>
  <c r="AI20" i="1"/>
  <c r="AK20" i="1" s="1"/>
  <c r="AD20" i="1"/>
  <c r="Z20" i="1"/>
  <c r="AB20" i="1" s="1"/>
  <c r="Y20" i="1"/>
  <c r="X20" i="1"/>
  <c r="W20" i="1"/>
  <c r="T20" i="1"/>
  <c r="S20" i="1"/>
  <c r="N20" i="1"/>
  <c r="I20" i="1"/>
  <c r="J20" i="1" s="1"/>
  <c r="K20" i="1" s="1"/>
  <c r="V20" i="1" s="1"/>
  <c r="AQ19" i="1"/>
  <c r="AP19" i="1"/>
  <c r="AO19" i="1"/>
  <c r="AK19" i="1"/>
  <c r="AB19" i="1"/>
  <c r="AD19" i="1" s="1"/>
  <c r="AA19" i="1"/>
  <c r="Z19" i="1"/>
  <c r="AI19" i="1" s="1"/>
  <c r="Y19" i="1"/>
  <c r="AH19" i="1" s="1"/>
  <c r="X19" i="1"/>
  <c r="W19" i="1"/>
  <c r="T19" i="1"/>
  <c r="S19" i="1"/>
  <c r="P19" i="1"/>
  <c r="N19" i="1"/>
  <c r="I19" i="1"/>
  <c r="J19" i="1" s="1"/>
  <c r="AQ18" i="1"/>
  <c r="AP18" i="1"/>
  <c r="AO18" i="1"/>
  <c r="AJ18" i="1"/>
  <c r="AH18" i="1"/>
  <c r="AG18" i="1"/>
  <c r="AC18" i="1"/>
  <c r="AA18" i="1"/>
  <c r="Z18" i="1"/>
  <c r="AB18" i="1" s="1"/>
  <c r="AF18" i="1" s="1"/>
  <c r="Y18" i="1"/>
  <c r="X18" i="1"/>
  <c r="W18" i="1"/>
  <c r="V18" i="1"/>
  <c r="U18" i="1"/>
  <c r="T18" i="1"/>
  <c r="S18" i="1"/>
  <c r="R18" i="1"/>
  <c r="P18" i="1"/>
  <c r="N18" i="1"/>
  <c r="I18" i="1"/>
  <c r="J18" i="1" s="1"/>
  <c r="K18" i="1" s="1"/>
  <c r="AP17" i="1"/>
  <c r="AO17" i="1"/>
  <c r="AQ17" i="1" s="1"/>
  <c r="AK17" i="1"/>
  <c r="AB17" i="1"/>
  <c r="AD17" i="1" s="1"/>
  <c r="Z17" i="1"/>
  <c r="AI17" i="1" s="1"/>
  <c r="Y17" i="1"/>
  <c r="AH17" i="1" s="1"/>
  <c r="X17" i="1"/>
  <c r="W17" i="1"/>
  <c r="T17" i="1"/>
  <c r="S17" i="1"/>
  <c r="Q17" i="1"/>
  <c r="P17" i="1"/>
  <c r="N17" i="1"/>
  <c r="K17" i="1"/>
  <c r="V17" i="1" s="1"/>
  <c r="J17" i="1"/>
  <c r="U17" i="1" s="1"/>
  <c r="I17" i="1"/>
  <c r="AP16" i="1"/>
  <c r="AQ16" i="1" s="1"/>
  <c r="AO16" i="1"/>
  <c r="AI16" i="1"/>
  <c r="AH16" i="1"/>
  <c r="AF16" i="1"/>
  <c r="AE16" i="1"/>
  <c r="AD16" i="1"/>
  <c r="Z16" i="1"/>
  <c r="AB16" i="1" s="1"/>
  <c r="Y16" i="1"/>
  <c r="AA16" i="1" s="1"/>
  <c r="AC16" i="1" s="1"/>
  <c r="W16" i="1"/>
  <c r="U16" i="1"/>
  <c r="S16" i="1"/>
  <c r="P16" i="1"/>
  <c r="X16" i="1" s="1"/>
  <c r="N16" i="1"/>
  <c r="I16" i="1"/>
  <c r="J16" i="1" s="1"/>
  <c r="AP15" i="1"/>
  <c r="AO15" i="1"/>
  <c r="AQ15" i="1" s="1"/>
  <c r="AI15" i="1"/>
  <c r="AM15" i="1" s="1"/>
  <c r="AH15" i="1"/>
  <c r="AA15" i="1"/>
  <c r="Z15" i="1"/>
  <c r="AB15" i="1" s="1"/>
  <c r="AD15" i="1" s="1"/>
  <c r="Y15" i="1"/>
  <c r="W15" i="1"/>
  <c r="S15" i="1"/>
  <c r="P15" i="1"/>
  <c r="T15" i="1" s="1"/>
  <c r="N15" i="1"/>
  <c r="I15" i="1"/>
  <c r="J15" i="1" s="1"/>
  <c r="K15" i="1" s="1"/>
  <c r="AQ14" i="1"/>
  <c r="AP14" i="1"/>
  <c r="AO14" i="1"/>
  <c r="AI14" i="1"/>
  <c r="Z14" i="1"/>
  <c r="AB14" i="1" s="1"/>
  <c r="AD14" i="1" s="1"/>
  <c r="Y14" i="1"/>
  <c r="AA14" i="1" s="1"/>
  <c r="AG14" i="1" s="1"/>
  <c r="W14" i="1"/>
  <c r="S14" i="1"/>
  <c r="P14" i="1"/>
  <c r="X14" i="1" s="1"/>
  <c r="N14" i="1"/>
  <c r="I14" i="1"/>
  <c r="J14" i="1" s="1"/>
  <c r="AQ13" i="1"/>
  <c r="AP13" i="1"/>
  <c r="AO13" i="1"/>
  <c r="Z13" i="1"/>
  <c r="AI13" i="1" s="1"/>
  <c r="Y13" i="1"/>
  <c r="AH13" i="1" s="1"/>
  <c r="AN13" i="1" s="1"/>
  <c r="N13" i="1"/>
  <c r="O13" i="1" s="1"/>
  <c r="J13" i="1"/>
  <c r="K13" i="1" s="1"/>
  <c r="I13" i="1"/>
  <c r="AQ12" i="1"/>
  <c r="AP12" i="1"/>
  <c r="AO12" i="1"/>
  <c r="AI12" i="1"/>
  <c r="AK12" i="1" s="1"/>
  <c r="AD12" i="1"/>
  <c r="AB12" i="1"/>
  <c r="Z12" i="1"/>
  <c r="Y12" i="1"/>
  <c r="AA12" i="1" s="1"/>
  <c r="AG12" i="1" s="1"/>
  <c r="X12" i="1"/>
  <c r="W12" i="1"/>
  <c r="T12" i="1"/>
  <c r="S12" i="1"/>
  <c r="P12" i="1"/>
  <c r="N12" i="1"/>
  <c r="I12" i="1"/>
  <c r="J12" i="1" s="1"/>
  <c r="AP11" i="1"/>
  <c r="AO11" i="1"/>
  <c r="AQ11" i="1" s="1"/>
  <c r="Z11" i="1"/>
  <c r="AI11" i="1" s="1"/>
  <c r="AK11" i="1" s="1"/>
  <c r="Y11" i="1"/>
  <c r="AH11" i="1" s="1"/>
  <c r="AJ11" i="1" s="1"/>
  <c r="AL11" i="1" s="1"/>
  <c r="X11" i="1"/>
  <c r="W11" i="1"/>
  <c r="U11" i="1"/>
  <c r="T11" i="1"/>
  <c r="S11" i="1"/>
  <c r="Q11" i="1"/>
  <c r="N11" i="1"/>
  <c r="K11" i="1"/>
  <c r="V11" i="1" s="1"/>
  <c r="I11" i="1"/>
  <c r="AP10" i="1"/>
  <c r="AO10" i="1"/>
  <c r="AQ10" i="1" s="1"/>
  <c r="AI10" i="1"/>
  <c r="AK10" i="1" s="1"/>
  <c r="AG10" i="1"/>
  <c r="AF10" i="1"/>
  <c r="AD10" i="1"/>
  <c r="AC10" i="1"/>
  <c r="AE10" i="1" s="1"/>
  <c r="AA10" i="1"/>
  <c r="Z10" i="1"/>
  <c r="AB10" i="1" s="1"/>
  <c r="Y10" i="1"/>
  <c r="AH10" i="1" s="1"/>
  <c r="X10" i="1"/>
  <c r="W10" i="1"/>
  <c r="T10" i="1"/>
  <c r="S10" i="1"/>
  <c r="Q10" i="1"/>
  <c r="P10" i="1"/>
  <c r="N10" i="1"/>
  <c r="I10" i="1"/>
  <c r="J10" i="1" s="1"/>
  <c r="AP9" i="1"/>
  <c r="AQ9" i="1" s="1"/>
  <c r="AO9" i="1"/>
  <c r="Z9" i="1"/>
  <c r="AB9" i="1" s="1"/>
  <c r="AD9" i="1" s="1"/>
  <c r="Y9" i="1"/>
  <c r="AH9" i="1" s="1"/>
  <c r="W9" i="1"/>
  <c r="S9" i="1"/>
  <c r="P9" i="1"/>
  <c r="N9" i="1"/>
  <c r="J9" i="1"/>
  <c r="U9" i="1" s="1"/>
  <c r="I9" i="1"/>
  <c r="AQ8" i="1"/>
  <c r="AP8" i="1"/>
  <c r="AO8" i="1"/>
  <c r="AK8" i="1"/>
  <c r="AI8" i="1"/>
  <c r="AB8" i="1"/>
  <c r="AD8" i="1" s="1"/>
  <c r="Z8" i="1"/>
  <c r="Y8" i="1"/>
  <c r="AA8" i="1" s="1"/>
  <c r="X8" i="1"/>
  <c r="W8" i="1"/>
  <c r="T8" i="1"/>
  <c r="S8" i="1"/>
  <c r="N8" i="1"/>
  <c r="I8" i="1"/>
  <c r="J8" i="1" s="1"/>
  <c r="K8" i="1" s="1"/>
  <c r="V8" i="1" s="1"/>
  <c r="AQ7" i="1"/>
  <c r="AP7" i="1"/>
  <c r="AO7" i="1"/>
  <c r="AH7" i="1"/>
  <c r="Z7" i="1"/>
  <c r="AB7" i="1" s="1"/>
  <c r="AD7" i="1" s="1"/>
  <c r="Y7" i="1"/>
  <c r="AA7" i="1" s="1"/>
  <c r="X7" i="1"/>
  <c r="W7" i="1"/>
  <c r="T7" i="1"/>
  <c r="S7" i="1"/>
  <c r="N7" i="1"/>
  <c r="I7" i="1"/>
  <c r="J7" i="1" s="1"/>
  <c r="K7" i="1" s="1"/>
  <c r="V7" i="1" s="1"/>
  <c r="AQ6" i="1"/>
  <c r="AP6" i="1"/>
  <c r="AO6" i="1"/>
  <c r="AI6" i="1"/>
  <c r="AK6" i="1" s="1"/>
  <c r="AB6" i="1"/>
  <c r="AD6" i="1" s="1"/>
  <c r="AA6" i="1"/>
  <c r="AG6" i="1" s="1"/>
  <c r="Z6" i="1"/>
  <c r="Y6" i="1"/>
  <c r="AH6" i="1" s="1"/>
  <c r="W6" i="1"/>
  <c r="T6" i="1"/>
  <c r="S6" i="1"/>
  <c r="P6" i="1"/>
  <c r="X6" i="1" s="1"/>
  <c r="N6" i="1"/>
  <c r="J6" i="1"/>
  <c r="I6" i="1"/>
  <c r="AP5" i="1"/>
  <c r="AO5" i="1"/>
  <c r="AQ5" i="1" s="1"/>
  <c r="AI5" i="1"/>
  <c r="AK5" i="1" s="1"/>
  <c r="AB5" i="1"/>
  <c r="AD5" i="1" s="1"/>
  <c r="Z5" i="1"/>
  <c r="Y5" i="1"/>
  <c r="AA5" i="1" s="1"/>
  <c r="W5" i="1"/>
  <c r="U5" i="1"/>
  <c r="S5" i="1"/>
  <c r="P5" i="1"/>
  <c r="X5" i="1" s="1"/>
  <c r="N5" i="1"/>
  <c r="K5" i="1"/>
  <c r="R5" i="1" s="1"/>
  <c r="I5" i="1"/>
  <c r="J5" i="1" s="1"/>
  <c r="Q5" i="1" s="1"/>
  <c r="AP4" i="1"/>
  <c r="AO4" i="1"/>
  <c r="AQ4" i="1" s="1"/>
  <c r="AI4" i="1"/>
  <c r="AK4" i="1" s="1"/>
  <c r="AH4" i="1"/>
  <c r="AD4" i="1"/>
  <c r="AC4" i="1"/>
  <c r="AE4" i="1" s="1"/>
  <c r="AB4" i="1"/>
  <c r="AA4" i="1"/>
  <c r="AG4" i="1" s="1"/>
  <c r="Z4" i="1"/>
  <c r="Y4" i="1"/>
  <c r="X4" i="1"/>
  <c r="W4" i="1"/>
  <c r="U4" i="1"/>
  <c r="T4" i="1"/>
  <c r="S4" i="1"/>
  <c r="Q4" i="1"/>
  <c r="N4" i="1"/>
  <c r="I4" i="1"/>
  <c r="J4" i="1" s="1"/>
  <c r="K4" i="1" s="1"/>
  <c r="AP3" i="1"/>
  <c r="AO3" i="1"/>
  <c r="AQ3" i="1" s="1"/>
  <c r="AI3" i="1"/>
  <c r="AK3" i="1" s="1"/>
  <c r="AH3" i="1"/>
  <c r="AA3" i="1"/>
  <c r="Z3" i="1"/>
  <c r="AB3" i="1" s="1"/>
  <c r="Y3" i="1"/>
  <c r="X3" i="1"/>
  <c r="W3" i="1"/>
  <c r="T3" i="1"/>
  <c r="S3" i="1"/>
  <c r="N3" i="1"/>
  <c r="I3" i="1"/>
  <c r="J3" i="1" s="1"/>
  <c r="AP2" i="1"/>
  <c r="AO2" i="1"/>
  <c r="AQ2" i="1" s="1"/>
  <c r="Z2" i="1"/>
  <c r="Y2" i="1"/>
  <c r="AH2" i="1" s="1"/>
  <c r="N2" i="1"/>
  <c r="O2" i="1" s="1"/>
  <c r="I2" i="1"/>
  <c r="J2" i="1" s="1"/>
  <c r="V13" i="1" l="1"/>
  <c r="R13" i="1"/>
  <c r="K24" i="1"/>
  <c r="Q24" i="1"/>
  <c r="U24" i="1"/>
  <c r="AM35" i="1"/>
  <c r="P13" i="1"/>
  <c r="W13" i="1"/>
  <c r="S13" i="1"/>
  <c r="R47" i="1"/>
  <c r="V47" i="1"/>
  <c r="Q49" i="1"/>
  <c r="K49" i="1"/>
  <c r="U49" i="1"/>
  <c r="U3" i="1"/>
  <c r="Q3" i="1"/>
  <c r="K3" i="1"/>
  <c r="K22" i="1"/>
  <c r="U22" i="1"/>
  <c r="Q22" i="1"/>
  <c r="U23" i="1"/>
  <c r="Q23" i="1"/>
  <c r="K23" i="1"/>
  <c r="AG34" i="1"/>
  <c r="V4" i="1"/>
  <c r="R4" i="1"/>
  <c r="AK13" i="1"/>
  <c r="AF5" i="1"/>
  <c r="AG5" i="1"/>
  <c r="AC5" i="1"/>
  <c r="AE5" i="1" s="1"/>
  <c r="AN4" i="1"/>
  <c r="AL18" i="1"/>
  <c r="V15" i="1"/>
  <c r="R15" i="1"/>
  <c r="Q28" i="1"/>
  <c r="U28" i="1"/>
  <c r="K28" i="1"/>
  <c r="AJ28" i="1" s="1"/>
  <c r="AN28" i="1"/>
  <c r="U2" i="1"/>
  <c r="K2" i="1"/>
  <c r="Q2" i="1"/>
  <c r="AJ2" i="1"/>
  <c r="AL2" i="1" s="1"/>
  <c r="K12" i="1"/>
  <c r="Q12" i="1"/>
  <c r="U12" i="1"/>
  <c r="AN23" i="1"/>
  <c r="K34" i="1"/>
  <c r="AN34" i="1" s="1"/>
  <c r="Q34" i="1"/>
  <c r="U34" i="1"/>
  <c r="P2" i="1"/>
  <c r="S2" i="1"/>
  <c r="W2" i="1"/>
  <c r="AD3" i="1"/>
  <c r="AF3" i="1"/>
  <c r="Q19" i="1"/>
  <c r="U19" i="1"/>
  <c r="AN19" i="1"/>
  <c r="AJ19" i="1"/>
  <c r="AL19" i="1" s="1"/>
  <c r="K19" i="1"/>
  <c r="AM19" i="1" s="1"/>
  <c r="AG22" i="1"/>
  <c r="AM2" i="1"/>
  <c r="Q16" i="1"/>
  <c r="K16" i="1"/>
  <c r="AA17" i="1"/>
  <c r="K21" i="1"/>
  <c r="U21" i="1"/>
  <c r="AF22" i="1"/>
  <c r="AG36" i="1"/>
  <c r="AF36" i="1"/>
  <c r="AM38" i="1"/>
  <c r="AC42" i="1"/>
  <c r="AE42" i="1" s="1"/>
  <c r="AK48" i="1"/>
  <c r="AC61" i="1"/>
  <c r="AE61" i="1" s="1"/>
  <c r="AF61" i="1"/>
  <c r="AG61" i="1"/>
  <c r="AA13" i="1"/>
  <c r="U14" i="1"/>
  <c r="K14" i="1"/>
  <c r="AC14" i="1"/>
  <c r="AE14" i="1" s="1"/>
  <c r="AH22" i="1"/>
  <c r="AI26" i="1"/>
  <c r="AK26" i="1" s="1"/>
  <c r="AB26" i="1"/>
  <c r="AD26" i="1" s="1"/>
  <c r="AK39" i="1"/>
  <c r="Q45" i="1"/>
  <c r="K45" i="1"/>
  <c r="Q51" i="1"/>
  <c r="U51" i="1"/>
  <c r="K51" i="1"/>
  <c r="AK53" i="1"/>
  <c r="R54" i="1"/>
  <c r="U70" i="1"/>
  <c r="Q70" i="1"/>
  <c r="K70" i="1"/>
  <c r="AC70" i="1"/>
  <c r="AE70" i="1" s="1"/>
  <c r="K6" i="1"/>
  <c r="AM6" i="1" s="1"/>
  <c r="AC8" i="1"/>
  <c r="AE8" i="1" s="1"/>
  <c r="U15" i="1"/>
  <c r="Q15" i="1"/>
  <c r="AC19" i="1"/>
  <c r="AE19" i="1" s="1"/>
  <c r="AG19" i="1"/>
  <c r="AH5" i="1"/>
  <c r="Q7" i="1"/>
  <c r="Q8" i="1"/>
  <c r="K9" i="1"/>
  <c r="K10" i="1"/>
  <c r="AN10" i="1" s="1"/>
  <c r="U10" i="1"/>
  <c r="AA11" i="1"/>
  <c r="AB13" i="1"/>
  <c r="AD13" i="1" s="1"/>
  <c r="AG16" i="1"/>
  <c r="Q18" i="1"/>
  <c r="AD18" i="1"/>
  <c r="AE18" i="1" s="1"/>
  <c r="Q20" i="1"/>
  <c r="AI22" i="1"/>
  <c r="AK22" i="1" s="1"/>
  <c r="Q26" i="1"/>
  <c r="AG26" i="1"/>
  <c r="V32" i="1"/>
  <c r="R32" i="1"/>
  <c r="AC34" i="1"/>
  <c r="AI40" i="1"/>
  <c r="AK40" i="1" s="1"/>
  <c r="AB40" i="1"/>
  <c r="AD40" i="1" s="1"/>
  <c r="V42" i="1"/>
  <c r="R42" i="1"/>
  <c r="AF42" i="1"/>
  <c r="AK54" i="1"/>
  <c r="AM54" i="1"/>
  <c r="U73" i="1"/>
  <c r="Q73" i="1"/>
  <c r="AJ73" i="1"/>
  <c r="AL73" i="1" s="1"/>
  <c r="K73" i="1"/>
  <c r="AN73" i="1" s="1"/>
  <c r="AN24" i="1"/>
  <c r="T5" i="1"/>
  <c r="AI28" i="1"/>
  <c r="AB28" i="1"/>
  <c r="AD28" i="1" s="1"/>
  <c r="K36" i="1"/>
  <c r="Q36" i="1"/>
  <c r="AM36" i="1"/>
  <c r="AJ36" i="1"/>
  <c r="AL36" i="1" s="1"/>
  <c r="K38" i="1"/>
  <c r="U38" i="1"/>
  <c r="Q38" i="1"/>
  <c r="AG40" i="1"/>
  <c r="AC40" i="1"/>
  <c r="AE40" i="1" s="1"/>
  <c r="AM42" i="1"/>
  <c r="AN42" i="1"/>
  <c r="AB44" i="1"/>
  <c r="AI44" i="1"/>
  <c r="AH61" i="1"/>
  <c r="AM3" i="1"/>
  <c r="AI7" i="1"/>
  <c r="AK7" i="1" s="1"/>
  <c r="AH8" i="1"/>
  <c r="X9" i="1"/>
  <c r="T9" i="1"/>
  <c r="Q14" i="1"/>
  <c r="AF14" i="1"/>
  <c r="AJ15" i="1"/>
  <c r="T16" i="1"/>
  <c r="R17" i="1"/>
  <c r="T21" i="1"/>
  <c r="AK21" i="1"/>
  <c r="AA28" i="1"/>
  <c r="U30" i="1"/>
  <c r="AG31" i="1"/>
  <c r="AC31" i="1"/>
  <c r="AE31" i="1" s="1"/>
  <c r="AF33" i="1"/>
  <c r="AF40" i="1"/>
  <c r="AF43" i="1"/>
  <c r="AG43" i="1"/>
  <c r="K46" i="1"/>
  <c r="Q46" i="1"/>
  <c r="AM46" i="1"/>
  <c r="AJ46" i="1"/>
  <c r="AL46" i="1" s="1"/>
  <c r="AC49" i="1"/>
  <c r="AE49" i="1" s="1"/>
  <c r="AG49" i="1"/>
  <c r="AF49" i="1"/>
  <c r="AF41" i="1"/>
  <c r="Q42" i="1"/>
  <c r="AJ42" i="1"/>
  <c r="AL42" i="1" s="1"/>
  <c r="V44" i="1"/>
  <c r="R44" i="1"/>
  <c r="AF50" i="1"/>
  <c r="AG50" i="1"/>
  <c r="AC50" i="1"/>
  <c r="AE50" i="1" s="1"/>
  <c r="Q55" i="1"/>
  <c r="U55" i="1"/>
  <c r="K55" i="1"/>
  <c r="Q61" i="1"/>
  <c r="K61" i="1"/>
  <c r="U61" i="1"/>
  <c r="AB2" i="1"/>
  <c r="AD2" i="1" s="1"/>
  <c r="AI2" i="1"/>
  <c r="AK2" i="1" s="1"/>
  <c r="U7" i="1"/>
  <c r="U8" i="1"/>
  <c r="AI9" i="1"/>
  <c r="AK9" i="1" s="1"/>
  <c r="R11" i="1"/>
  <c r="AM17" i="1"/>
  <c r="AN18" i="1"/>
  <c r="AM18" i="1"/>
  <c r="U20" i="1"/>
  <c r="AJ23" i="1"/>
  <c r="AL23" i="1" s="1"/>
  <c r="R26" i="1"/>
  <c r="AJ26" i="1"/>
  <c r="T29" i="1"/>
  <c r="AF31" i="1"/>
  <c r="X34" i="1"/>
  <c r="T34" i="1"/>
  <c r="AB37" i="1"/>
  <c r="AI37" i="1"/>
  <c r="AH47" i="1"/>
  <c r="AA47" i="1"/>
  <c r="AN49" i="1"/>
  <c r="AJ49" i="1"/>
  <c r="AH51" i="1"/>
  <c r="AA51" i="1"/>
  <c r="AJ56" i="1"/>
  <c r="AL56" i="1" s="1"/>
  <c r="AH66" i="1"/>
  <c r="AA66" i="1"/>
  <c r="AG39" i="1"/>
  <c r="AF39" i="1"/>
  <c r="Q40" i="1"/>
  <c r="K40" i="1"/>
  <c r="AM40" i="1" s="1"/>
  <c r="AN40" i="1"/>
  <c r="AC41" i="1"/>
  <c r="AI47" i="1"/>
  <c r="AK47" i="1" s="1"/>
  <c r="AB47" i="1"/>
  <c r="AD47" i="1" s="1"/>
  <c r="U53" i="1"/>
  <c r="Q53" i="1"/>
  <c r="K53" i="1"/>
  <c r="AC22" i="1"/>
  <c r="AE22" i="1" s="1"/>
  <c r="AA23" i="1"/>
  <c r="K25" i="1"/>
  <c r="AM25" i="1" s="1"/>
  <c r="AI27" i="1"/>
  <c r="AK27" i="1" s="1"/>
  <c r="AB27" i="1"/>
  <c r="AD27" i="1" s="1"/>
  <c r="AB30" i="1"/>
  <c r="AD30" i="1" s="1"/>
  <c r="AE30" i="1" s="1"/>
  <c r="AI30" i="1"/>
  <c r="AK30" i="1" s="1"/>
  <c r="K33" i="1"/>
  <c r="Q33" i="1"/>
  <c r="AF35" i="1"/>
  <c r="U36" i="1"/>
  <c r="T38" i="1"/>
  <c r="AG41" i="1"/>
  <c r="U43" i="1"/>
  <c r="Q43" i="1"/>
  <c r="AJ45" i="1"/>
  <c r="AL45" i="1" s="1"/>
  <c r="AN45" i="1"/>
  <c r="AJ50" i="1"/>
  <c r="AN50" i="1"/>
  <c r="AM50" i="1"/>
  <c r="AF62" i="1"/>
  <c r="AD69" i="1"/>
  <c r="AE69" i="1" s="1"/>
  <c r="AF69" i="1"/>
  <c r="U27" i="1"/>
  <c r="K27" i="1"/>
  <c r="AJ27" i="1" s="1"/>
  <c r="AL27" i="1" s="1"/>
  <c r="AM27" i="1"/>
  <c r="K39" i="1"/>
  <c r="U39" i="1"/>
  <c r="Q39" i="1"/>
  <c r="AH39" i="1"/>
  <c r="AH32" i="1"/>
  <c r="AA32" i="1"/>
  <c r="AG33" i="1"/>
  <c r="K35" i="1"/>
  <c r="AJ35" i="1" s="1"/>
  <c r="AL35" i="1" s="1"/>
  <c r="U35" i="1"/>
  <c r="Q35" i="1"/>
  <c r="R37" i="1"/>
  <c r="V37" i="1"/>
  <c r="AG37" i="1"/>
  <c r="T40" i="1"/>
  <c r="X40" i="1"/>
  <c r="AH41" i="1"/>
  <c r="K43" i="1"/>
  <c r="AJ43" i="1" s="1"/>
  <c r="AL43" i="1" s="1"/>
  <c r="AN43" i="1"/>
  <c r="AI45" i="1"/>
  <c r="AK45" i="1" s="1"/>
  <c r="AB45" i="1"/>
  <c r="AD45" i="1" s="1"/>
  <c r="T53" i="1"/>
  <c r="X53" i="1"/>
  <c r="AF6" i="1"/>
  <c r="AC7" i="1"/>
  <c r="AE7" i="1" s="1"/>
  <c r="AC12" i="1"/>
  <c r="AE12" i="1" s="1"/>
  <c r="AI34" i="1"/>
  <c r="AB34" i="1"/>
  <c r="AJ53" i="1"/>
  <c r="AL53" i="1" s="1"/>
  <c r="AN55" i="1"/>
  <c r="AC6" i="1"/>
  <c r="AE6" i="1" s="1"/>
  <c r="AA9" i="1"/>
  <c r="AJ4" i="1"/>
  <c r="AL4" i="1" s="1"/>
  <c r="Q6" i="1"/>
  <c r="R7" i="1"/>
  <c r="R8" i="1"/>
  <c r="AG8" i="1"/>
  <c r="AB11" i="1"/>
  <c r="AD11" i="1" s="1"/>
  <c r="Q13" i="1"/>
  <c r="U13" i="1"/>
  <c r="AK15" i="1"/>
  <c r="AM16" i="1"/>
  <c r="AN16" i="1"/>
  <c r="AJ17" i="1"/>
  <c r="AL17" i="1" s="1"/>
  <c r="AF19" i="1"/>
  <c r="R20" i="1"/>
  <c r="AN2" i="1"/>
  <c r="AM4" i="1"/>
  <c r="V5" i="1"/>
  <c r="AJ7" i="1"/>
  <c r="Q9" i="1"/>
  <c r="AF12" i="1"/>
  <c r="AJ13" i="1"/>
  <c r="AL13" i="1" s="1"/>
  <c r="AH14" i="1"/>
  <c r="AK16" i="1"/>
  <c r="AC24" i="1"/>
  <c r="AE24" i="1" s="1"/>
  <c r="AA25" i="1"/>
  <c r="AM26" i="1"/>
  <c r="AA2" i="1"/>
  <c r="U6" i="1"/>
  <c r="AH12" i="1"/>
  <c r="T14" i="1"/>
  <c r="AK14" i="1"/>
  <c r="X15" i="1"/>
  <c r="AN15" i="1"/>
  <c r="AN17" i="1"/>
  <c r="AG27" i="1"/>
  <c r="AF27" i="1"/>
  <c r="U31" i="1"/>
  <c r="K31" i="1"/>
  <c r="AJ31" i="1" s="1"/>
  <c r="AL31" i="1" s="1"/>
  <c r="AC35" i="1"/>
  <c r="AE35" i="1" s="1"/>
  <c r="AK38" i="1"/>
  <c r="AG3" i="1"/>
  <c r="AC3" i="1"/>
  <c r="AE3" i="1" s="1"/>
  <c r="AN7" i="1"/>
  <c r="AM13" i="1"/>
  <c r="AF4" i="1"/>
  <c r="AF8" i="1"/>
  <c r="AJ10" i="1"/>
  <c r="AL10" i="1" s="1"/>
  <c r="AM11" i="1"/>
  <c r="AH20" i="1"/>
  <c r="AA20" i="1"/>
  <c r="AA21" i="1"/>
  <c r="AB23" i="1"/>
  <c r="AD23" i="1" s="1"/>
  <c r="AC27" i="1"/>
  <c r="K30" i="1"/>
  <c r="AN30" i="1" s="1"/>
  <c r="AG30" i="1"/>
  <c r="Q31" i="1"/>
  <c r="AG7" i="1"/>
  <c r="AF7" i="1"/>
  <c r="AN11" i="1"/>
  <c r="AG15" i="1"/>
  <c r="AF15" i="1"/>
  <c r="AC15" i="1"/>
  <c r="AE15" i="1" s="1"/>
  <c r="AF24" i="1"/>
  <c r="Q25" i="1"/>
  <c r="AM33" i="1"/>
  <c r="AJ33" i="1"/>
  <c r="AL33" i="1" s="1"/>
  <c r="AK35" i="1"/>
  <c r="AJ37" i="1"/>
  <c r="AC39" i="1"/>
  <c r="AE39" i="1" s="1"/>
  <c r="K41" i="1"/>
  <c r="Q41" i="1"/>
  <c r="AA45" i="1"/>
  <c r="U47" i="1"/>
  <c r="Q47" i="1"/>
  <c r="AA48" i="1"/>
  <c r="AH48" i="1"/>
  <c r="AE57" i="1"/>
  <c r="AK57" i="1"/>
  <c r="AA67" i="1"/>
  <c r="AH67" i="1"/>
  <c r="Q71" i="1"/>
  <c r="U71" i="1"/>
  <c r="AG71" i="1"/>
  <c r="AI72" i="1"/>
  <c r="AK72" i="1" s="1"/>
  <c r="AB72" i="1"/>
  <c r="AD72" i="1" s="1"/>
  <c r="V76" i="1"/>
  <c r="R76" i="1"/>
  <c r="AG78" i="1"/>
  <c r="AC78" i="1"/>
  <c r="AE78" i="1" s="1"/>
  <c r="AJ80" i="1"/>
  <c r="AN80" i="1"/>
  <c r="Q52" i="1"/>
  <c r="K52" i="1"/>
  <c r="K71" i="1"/>
  <c r="AN71" i="1"/>
  <c r="AA72" i="1"/>
  <c r="AN74" i="1"/>
  <c r="AC75" i="1"/>
  <c r="AE75" i="1" s="1"/>
  <c r="R79" i="1"/>
  <c r="AD83" i="1"/>
  <c r="AE83" i="1" s="1"/>
  <c r="AF83" i="1"/>
  <c r="AG84" i="1"/>
  <c r="AC84" i="1"/>
  <c r="AE84" i="1" s="1"/>
  <c r="AF84" i="1"/>
  <c r="AF89" i="1"/>
  <c r="AG89" i="1"/>
  <c r="AC89" i="1"/>
  <c r="AE89" i="1" s="1"/>
  <c r="AG42" i="1"/>
  <c r="AJ54" i="1"/>
  <c r="AL54" i="1" s="1"/>
  <c r="AN54" i="1"/>
  <c r="AN57" i="1"/>
  <c r="K57" i="1"/>
  <c r="U57" i="1"/>
  <c r="AG60" i="1"/>
  <c r="AF60" i="1"/>
  <c r="AG63" i="1"/>
  <c r="U64" i="1"/>
  <c r="K64" i="1"/>
  <c r="AM64" i="1" s="1"/>
  <c r="Q64" i="1"/>
  <c r="AN64" i="1"/>
  <c r="V74" i="1"/>
  <c r="R74" i="1"/>
  <c r="AN91" i="1"/>
  <c r="AJ91" i="1"/>
  <c r="AA65" i="1"/>
  <c r="AH65" i="1"/>
  <c r="AG70" i="1"/>
  <c r="AF75" i="1"/>
  <c r="AN52" i="1"/>
  <c r="AM55" i="1"/>
  <c r="AJ59" i="1"/>
  <c r="AL59" i="1" s="1"/>
  <c r="AE60" i="1"/>
  <c r="Q75" i="1"/>
  <c r="K75" i="1"/>
  <c r="AN75" i="1" s="1"/>
  <c r="U75" i="1"/>
  <c r="AG75" i="1"/>
  <c r="AB88" i="1"/>
  <c r="AD88" i="1" s="1"/>
  <c r="AI88" i="1"/>
  <c r="AK88" i="1" s="1"/>
  <c r="U56" i="1"/>
  <c r="K56" i="1"/>
  <c r="AN56" i="1" s="1"/>
  <c r="AC56" i="1"/>
  <c r="AE56" i="1" s="1"/>
  <c r="AC58" i="1"/>
  <c r="AE58" i="1" s="1"/>
  <c r="AF58" i="1"/>
  <c r="Q63" i="1"/>
  <c r="U63" i="1"/>
  <c r="Q72" i="1"/>
  <c r="U72" i="1"/>
  <c r="U80" i="1"/>
  <c r="K80" i="1"/>
  <c r="AI18" i="1"/>
  <c r="AK18" i="1" s="1"/>
  <c r="AF30" i="1"/>
  <c r="T50" i="1"/>
  <c r="X50" i="1"/>
  <c r="AJ52" i="1"/>
  <c r="AL52" i="1" s="1"/>
  <c r="AA55" i="1"/>
  <c r="AG59" i="1"/>
  <c r="AK60" i="1"/>
  <c r="K63" i="1"/>
  <c r="K72" i="1"/>
  <c r="AG73" i="1"/>
  <c r="AC73" i="1"/>
  <c r="AE73" i="1" s="1"/>
  <c r="AF73" i="1"/>
  <c r="U78" i="1"/>
  <c r="Q78" i="1"/>
  <c r="K78" i="1"/>
  <c r="U86" i="1"/>
  <c r="Q86" i="1"/>
  <c r="K86" i="1"/>
  <c r="AN86" i="1" s="1"/>
  <c r="AJ38" i="1"/>
  <c r="AL38" i="1" s="1"/>
  <c r="AB41" i="1"/>
  <c r="AD41" i="1" s="1"/>
  <c r="AC46" i="1"/>
  <c r="AE46" i="1" s="1"/>
  <c r="Q50" i="1"/>
  <c r="AM52" i="1"/>
  <c r="AM53" i="1"/>
  <c r="K59" i="1"/>
  <c r="AL60" i="1"/>
  <c r="AF70" i="1"/>
  <c r="AG76" i="1"/>
  <c r="AF76" i="1"/>
  <c r="AC76" i="1"/>
  <c r="AE76" i="1" s="1"/>
  <c r="AI74" i="1"/>
  <c r="AB74" i="1"/>
  <c r="AD74" i="1" s="1"/>
  <c r="X77" i="1"/>
  <c r="Q80" i="1"/>
  <c r="AI49" i="1"/>
  <c r="AK49" i="1" s="1"/>
  <c r="AK50" i="1"/>
  <c r="AG53" i="1"/>
  <c r="AF54" i="1"/>
  <c r="Q58" i="1"/>
  <c r="K58" i="1"/>
  <c r="AH58" i="1"/>
  <c r="U62" i="1"/>
  <c r="Q62" i="1"/>
  <c r="AC62" i="1"/>
  <c r="AE62" i="1" s="1"/>
  <c r="X70" i="1"/>
  <c r="T70" i="1"/>
  <c r="AB71" i="1"/>
  <c r="AD71" i="1" s="1"/>
  <c r="AI71" i="1"/>
  <c r="AK71" i="1" s="1"/>
  <c r="AF74" i="1"/>
  <c r="AG74" i="1"/>
  <c r="K29" i="1"/>
  <c r="AJ29" i="1" s="1"/>
  <c r="AL29" i="1" s="1"/>
  <c r="AN38" i="1"/>
  <c r="AJ44" i="1"/>
  <c r="AN44" i="1"/>
  <c r="AF46" i="1"/>
  <c r="R48" i="1"/>
  <c r="U50" i="1"/>
  <c r="AJ55" i="1"/>
  <c r="AL55" i="1" s="1"/>
  <c r="Q59" i="1"/>
  <c r="AF59" i="1"/>
  <c r="K62" i="1"/>
  <c r="AN62" i="1" s="1"/>
  <c r="AC64" i="1"/>
  <c r="AG64" i="1"/>
  <c r="AG69" i="1"/>
  <c r="AC71" i="1"/>
  <c r="AC74" i="1"/>
  <c r="AE74" i="1" s="1"/>
  <c r="AN76" i="1"/>
  <c r="AJ76" i="1"/>
  <c r="AL76" i="1" s="1"/>
  <c r="AM76" i="1"/>
  <c r="AN94" i="1"/>
  <c r="AJ94" i="1"/>
  <c r="AL94" i="1" s="1"/>
  <c r="AG29" i="1"/>
  <c r="AC26" i="1"/>
  <c r="AC29" i="1"/>
  <c r="AE29" i="1" s="1"/>
  <c r="AA38" i="1"/>
  <c r="AC53" i="1"/>
  <c r="AE53" i="1" s="1"/>
  <c r="T56" i="1"/>
  <c r="AG57" i="1"/>
  <c r="AF57" i="1"/>
  <c r="X60" i="1"/>
  <c r="AB64" i="1"/>
  <c r="AD64" i="1" s="1"/>
  <c r="U66" i="1"/>
  <c r="K66" i="1"/>
  <c r="K69" i="1"/>
  <c r="AJ72" i="1"/>
  <c r="AL72" i="1" s="1"/>
  <c r="AN72" i="1"/>
  <c r="AM72" i="1"/>
  <c r="U76" i="1"/>
  <c r="Q76" i="1"/>
  <c r="AJ68" i="1"/>
  <c r="AL68" i="1" s="1"/>
  <c r="AM70" i="1"/>
  <c r="AJ75" i="1"/>
  <c r="AL75" i="1" s="1"/>
  <c r="AA80" i="1"/>
  <c r="AK83" i="1"/>
  <c r="X83" i="1"/>
  <c r="T83" i="1"/>
  <c r="AF86" i="1"/>
  <c r="AG86" i="1"/>
  <c r="AC86" i="1"/>
  <c r="AE86" i="1" s="1"/>
  <c r="AN92" i="1"/>
  <c r="AM92" i="1"/>
  <c r="AJ92" i="1"/>
  <c r="AL92" i="1" s="1"/>
  <c r="AN63" i="1"/>
  <c r="AM63" i="1"/>
  <c r="U67" i="1"/>
  <c r="Q67" i="1"/>
  <c r="K67" i="1"/>
  <c r="T72" i="1"/>
  <c r="T76" i="1"/>
  <c r="AH81" i="1"/>
  <c r="AA81" i="1"/>
  <c r="K82" i="1"/>
  <c r="Q82" i="1"/>
  <c r="T89" i="1"/>
  <c r="X89" i="1"/>
  <c r="AK109" i="1"/>
  <c r="AM109" i="1"/>
  <c r="U74" i="1"/>
  <c r="Q77" i="1"/>
  <c r="AG77" i="1"/>
  <c r="K77" i="1"/>
  <c r="AJ77" i="1" s="1"/>
  <c r="AN87" i="1"/>
  <c r="AH90" i="1"/>
  <c r="AG56" i="1"/>
  <c r="AM59" i="1"/>
  <c r="AJ62" i="1"/>
  <c r="AL62" i="1" s="1"/>
  <c r="T45" i="1"/>
  <c r="T51" i="1"/>
  <c r="AJ63" i="1"/>
  <c r="AL63" i="1" s="1"/>
  <c r="R65" i="1"/>
  <c r="AI67" i="1"/>
  <c r="AK67" i="1" s="1"/>
  <c r="AK70" i="1"/>
  <c r="AJ79" i="1"/>
  <c r="AL79" i="1" s="1"/>
  <c r="AH82" i="1"/>
  <c r="V84" i="1"/>
  <c r="R84" i="1"/>
  <c r="K85" i="1"/>
  <c r="U85" i="1"/>
  <c r="AM83" i="1"/>
  <c r="AN83" i="1"/>
  <c r="AJ83" i="1"/>
  <c r="AL83" i="1" s="1"/>
  <c r="AM88" i="1"/>
  <c r="AJ88" i="1"/>
  <c r="AL88" i="1" s="1"/>
  <c r="R118" i="1"/>
  <c r="V118" i="1"/>
  <c r="AA115" i="1"/>
  <c r="AH115" i="1"/>
  <c r="AF56" i="1"/>
  <c r="AN60" i="1"/>
  <c r="AC63" i="1"/>
  <c r="AE63" i="1" s="1"/>
  <c r="AJ64" i="1"/>
  <c r="AL64" i="1" s="1"/>
  <c r="AI69" i="1"/>
  <c r="AK69" i="1" s="1"/>
  <c r="AJ74" i="1"/>
  <c r="AN84" i="1"/>
  <c r="AM84" i="1"/>
  <c r="AJ84" i="1"/>
  <c r="R94" i="1"/>
  <c r="V94" i="1"/>
  <c r="AA98" i="1"/>
  <c r="AH98" i="1"/>
  <c r="AN89" i="1"/>
  <c r="AJ89" i="1"/>
  <c r="X74" i="1"/>
  <c r="T74" i="1"/>
  <c r="AM75" i="1"/>
  <c r="AI77" i="1"/>
  <c r="AB77" i="1"/>
  <c r="AD77" i="1" s="1"/>
  <c r="AH78" i="1"/>
  <c r="AF82" i="1"/>
  <c r="AG82" i="1"/>
  <c r="AC82" i="1"/>
  <c r="AE82" i="1" s="1"/>
  <c r="R83" i="1"/>
  <c r="V83" i="1"/>
  <c r="AA85" i="1"/>
  <c r="AH85" i="1"/>
  <c r="Q88" i="1"/>
  <c r="U88" i="1"/>
  <c r="K88" i="1"/>
  <c r="AG90" i="1"/>
  <c r="AF90" i="1"/>
  <c r="AN100" i="1"/>
  <c r="AJ100" i="1"/>
  <c r="AL100" i="1" s="1"/>
  <c r="AF63" i="1"/>
  <c r="AB66" i="1"/>
  <c r="AD66" i="1" s="1"/>
  <c r="AI66" i="1"/>
  <c r="AK66" i="1" s="1"/>
  <c r="AM73" i="1"/>
  <c r="Q74" i="1"/>
  <c r="AK84" i="1"/>
  <c r="AI85" i="1"/>
  <c r="AK85" i="1" s="1"/>
  <c r="AB85" i="1"/>
  <c r="AD85" i="1" s="1"/>
  <c r="AI86" i="1"/>
  <c r="AK86" i="1" s="1"/>
  <c r="AB86" i="1"/>
  <c r="AD86" i="1" s="1"/>
  <c r="U89" i="1"/>
  <c r="Q89" i="1"/>
  <c r="K89" i="1"/>
  <c r="AB104" i="1"/>
  <c r="AD104" i="1" s="1"/>
  <c r="AI104" i="1"/>
  <c r="AK104" i="1" s="1"/>
  <c r="AG109" i="1"/>
  <c r="AC109" i="1"/>
  <c r="AE109" i="1" s="1"/>
  <c r="AF109" i="1"/>
  <c r="K111" i="1"/>
  <c r="Q111" i="1"/>
  <c r="U111" i="1"/>
  <c r="AC77" i="1"/>
  <c r="AE77" i="1" s="1"/>
  <c r="AG83" i="1"/>
  <c r="AA87" i="1"/>
  <c r="AA88" i="1"/>
  <c r="AH93" i="1"/>
  <c r="AA93" i="1"/>
  <c r="AF94" i="1"/>
  <c r="AC94" i="1"/>
  <c r="AE94" i="1" s="1"/>
  <c r="AK96" i="1"/>
  <c r="AA99" i="1"/>
  <c r="AA101" i="1"/>
  <c r="AH101" i="1"/>
  <c r="AH104" i="1"/>
  <c r="K81" i="1"/>
  <c r="P84" i="1"/>
  <c r="K87" i="1"/>
  <c r="R91" i="1"/>
  <c r="AK93" i="1"/>
  <c r="AG94" i="1"/>
  <c r="U95" i="1"/>
  <c r="AA96" i="1"/>
  <c r="Q103" i="1"/>
  <c r="Q106" i="1"/>
  <c r="U106" i="1"/>
  <c r="K106" i="1"/>
  <c r="AJ106" i="1" s="1"/>
  <c r="AN109" i="1"/>
  <c r="AI80" i="1"/>
  <c r="AK80" i="1" s="1"/>
  <c r="AI94" i="1"/>
  <c r="AK94" i="1" s="1"/>
  <c r="AF95" i="1"/>
  <c r="AG95" i="1"/>
  <c r="V99" i="1"/>
  <c r="R99" i="1"/>
  <c r="V100" i="1"/>
  <c r="Q104" i="1"/>
  <c r="K104" i="1"/>
  <c r="U104" i="1"/>
  <c r="R109" i="1"/>
  <c r="V109" i="1"/>
  <c r="AF77" i="1"/>
  <c r="Q81" i="1"/>
  <c r="AM86" i="1"/>
  <c r="X92" i="1"/>
  <c r="Q101" i="1"/>
  <c r="K101" i="1"/>
  <c r="AK101" i="1"/>
  <c r="AJ102" i="1"/>
  <c r="AL102" i="1" s="1"/>
  <c r="AN102" i="1"/>
  <c r="AM102" i="1"/>
  <c r="U119" i="1"/>
  <c r="Q119" i="1"/>
  <c r="K119" i="1"/>
  <c r="AM79" i="1"/>
  <c r="AN79" i="1"/>
  <c r="Q96" i="1"/>
  <c r="U96" i="1"/>
  <c r="K96" i="1"/>
  <c r="Q98" i="1"/>
  <c r="K98" i="1"/>
  <c r="AH111" i="1"/>
  <c r="AA111" i="1"/>
  <c r="AN121" i="1"/>
  <c r="AN122" i="1"/>
  <c r="U93" i="1"/>
  <c r="Q93" i="1"/>
  <c r="K93" i="1"/>
  <c r="AN97" i="1"/>
  <c r="AJ97" i="1"/>
  <c r="AL97" i="1" s="1"/>
  <c r="T101" i="1"/>
  <c r="X101" i="1"/>
  <c r="AH103" i="1"/>
  <c r="AA103" i="1"/>
  <c r="Q107" i="1"/>
  <c r="K107" i="1"/>
  <c r="AA117" i="1"/>
  <c r="AH117" i="1"/>
  <c r="AI121" i="1"/>
  <c r="AK121" i="1" s="1"/>
  <c r="AB121" i="1"/>
  <c r="AD121" i="1" s="1"/>
  <c r="U125" i="1"/>
  <c r="Q125" i="1"/>
  <c r="AN128" i="1"/>
  <c r="AM128" i="1"/>
  <c r="AJ128" i="1"/>
  <c r="AA79" i="1"/>
  <c r="AF92" i="1"/>
  <c r="AG92" i="1"/>
  <c r="AM112" i="1"/>
  <c r="K125" i="1"/>
  <c r="AJ125" i="1" s="1"/>
  <c r="AL125" i="1" s="1"/>
  <c r="AB91" i="1"/>
  <c r="AI91" i="1"/>
  <c r="AK91" i="1" s="1"/>
  <c r="X93" i="1"/>
  <c r="T93" i="1"/>
  <c r="V95" i="1"/>
  <c r="R95" i="1"/>
  <c r="AA97" i="1"/>
  <c r="T99" i="1"/>
  <c r="AA100" i="1"/>
  <c r="AD105" i="1"/>
  <c r="AE105" i="1" s="1"/>
  <c r="AC108" i="1"/>
  <c r="AE108" i="1" s="1"/>
  <c r="AG108" i="1"/>
  <c r="AF108" i="1"/>
  <c r="X81" i="1"/>
  <c r="AQ85" i="1"/>
  <c r="AQ86" i="1"/>
  <c r="AQ87" i="1"/>
  <c r="AC92" i="1"/>
  <c r="AE92" i="1" s="1"/>
  <c r="AH95" i="1"/>
  <c r="T96" i="1"/>
  <c r="Q100" i="1"/>
  <c r="U100" i="1"/>
  <c r="U101" i="1"/>
  <c r="V92" i="1"/>
  <c r="R92" i="1"/>
  <c r="T95" i="1"/>
  <c r="X95" i="1"/>
  <c r="AK95" i="1"/>
  <c r="U97" i="1"/>
  <c r="Q97" i="1"/>
  <c r="K97" i="1"/>
  <c r="AM97" i="1" s="1"/>
  <c r="AJ99" i="1"/>
  <c r="AL99" i="1" s="1"/>
  <c r="AN99" i="1"/>
  <c r="V103" i="1"/>
  <c r="R103" i="1"/>
  <c r="AF104" i="1"/>
  <c r="AG104" i="1"/>
  <c r="AC104" i="1"/>
  <c r="AE104" i="1" s="1"/>
  <c r="AJ105" i="1"/>
  <c r="AL105" i="1" s="1"/>
  <c r="AN105" i="1"/>
  <c r="AM105" i="1"/>
  <c r="U107" i="1"/>
  <c r="AH113" i="1"/>
  <c r="AA113" i="1"/>
  <c r="AM114" i="1"/>
  <c r="AJ114" i="1"/>
  <c r="AL114" i="1" s="1"/>
  <c r="AD118" i="1"/>
  <c r="AF118" i="1"/>
  <c r="U121" i="1"/>
  <c r="Q121" i="1"/>
  <c r="K121" i="1"/>
  <c r="V122" i="1"/>
  <c r="R122" i="1"/>
  <c r="AG124" i="1"/>
  <c r="AF124" i="1"/>
  <c r="AC124" i="1"/>
  <c r="AE124" i="1" s="1"/>
  <c r="AA129" i="1"/>
  <c r="AH129" i="1"/>
  <c r="AK130" i="1"/>
  <c r="AL130" i="1" s="1"/>
  <c r="T148" i="1"/>
  <c r="X148" i="1"/>
  <c r="AG156" i="1"/>
  <c r="AC156" i="1"/>
  <c r="AQ90" i="1"/>
  <c r="AB96" i="1"/>
  <c r="AD96" i="1" s="1"/>
  <c r="AB99" i="1"/>
  <c r="AD99" i="1" s="1"/>
  <c r="AI108" i="1"/>
  <c r="AJ109" i="1"/>
  <c r="AL109" i="1" s="1"/>
  <c r="AQ114" i="1"/>
  <c r="AM116" i="1"/>
  <c r="AJ116" i="1"/>
  <c r="AL116" i="1" s="1"/>
  <c r="AN119" i="1"/>
  <c r="AM119" i="1"/>
  <c r="AA121" i="1"/>
  <c r="R120" i="1"/>
  <c r="V120" i="1"/>
  <c r="AG132" i="1"/>
  <c r="R105" i="1"/>
  <c r="AF107" i="1"/>
  <c r="AC107" i="1"/>
  <c r="AE107" i="1" s="1"/>
  <c r="AA112" i="1"/>
  <c r="AA114" i="1"/>
  <c r="AA116" i="1"/>
  <c r="AC118" i="1"/>
  <c r="AA119" i="1"/>
  <c r="AJ123" i="1"/>
  <c r="AL123" i="1" s="1"/>
  <c r="Q124" i="1"/>
  <c r="U124" i="1"/>
  <c r="AF132" i="1"/>
  <c r="R133" i="1"/>
  <c r="U139" i="1"/>
  <c r="K139" i="1"/>
  <c r="AJ139" i="1" s="1"/>
  <c r="AL139" i="1" s="1"/>
  <c r="Q139" i="1"/>
  <c r="U168" i="1"/>
  <c r="Q168" i="1"/>
  <c r="K168" i="1"/>
  <c r="AM168" i="1" s="1"/>
  <c r="AF168" i="1"/>
  <c r="AK89" i="1"/>
  <c r="AQ100" i="1"/>
  <c r="AM110" i="1"/>
  <c r="AJ110" i="1"/>
  <c r="AL110" i="1" s="1"/>
  <c r="Q112" i="1"/>
  <c r="U112" i="1"/>
  <c r="K114" i="1"/>
  <c r="AN114" i="1" s="1"/>
  <c r="Q114" i="1"/>
  <c r="K117" i="1"/>
  <c r="Q117" i="1"/>
  <c r="AB119" i="1"/>
  <c r="AD119" i="1" s="1"/>
  <c r="AM124" i="1"/>
  <c r="AJ124" i="1"/>
  <c r="AL124" i="1" s="1"/>
  <c r="AN124" i="1"/>
  <c r="AF126" i="1"/>
  <c r="AG126" i="1"/>
  <c r="AC126" i="1"/>
  <c r="AE126" i="1" s="1"/>
  <c r="AA147" i="1"/>
  <c r="AH147" i="1"/>
  <c r="AH154" i="1"/>
  <c r="AA154" i="1"/>
  <c r="K112" i="1"/>
  <c r="AJ112" i="1" s="1"/>
  <c r="AL112" i="1" s="1"/>
  <c r="K113" i="1"/>
  <c r="AB113" i="1"/>
  <c r="AD113" i="1" s="1"/>
  <c r="AJ121" i="1"/>
  <c r="AL121" i="1" s="1"/>
  <c r="U122" i="1"/>
  <c r="AF123" i="1"/>
  <c r="AC123" i="1"/>
  <c r="AE123" i="1" s="1"/>
  <c r="AG123" i="1"/>
  <c r="AK127" i="1"/>
  <c r="Q129" i="1"/>
  <c r="K129" i="1"/>
  <c r="X130" i="1"/>
  <c r="U131" i="1"/>
  <c r="Q131" i="1"/>
  <c r="K131" i="1"/>
  <c r="V146" i="1"/>
  <c r="R146" i="1"/>
  <c r="AN146" i="1"/>
  <c r="AI154" i="1"/>
  <c r="AK154" i="1" s="1"/>
  <c r="AB154" i="1"/>
  <c r="AD154" i="1" s="1"/>
  <c r="AA110" i="1"/>
  <c r="T117" i="1"/>
  <c r="X117" i="1"/>
  <c r="T118" i="1"/>
  <c r="AM118" i="1"/>
  <c r="AJ118" i="1"/>
  <c r="AL118" i="1" s="1"/>
  <c r="AM121" i="1"/>
  <c r="AQ104" i="1"/>
  <c r="AF106" i="1"/>
  <c r="Q108" i="1"/>
  <c r="AN108" i="1"/>
  <c r="Q115" i="1"/>
  <c r="R116" i="1"/>
  <c r="U118" i="1"/>
  <c r="T120" i="1"/>
  <c r="AM120" i="1"/>
  <c r="AN120" i="1"/>
  <c r="AJ120" i="1"/>
  <c r="AH126" i="1"/>
  <c r="T129" i="1"/>
  <c r="X129" i="1"/>
  <c r="AD130" i="1"/>
  <c r="AF130" i="1"/>
  <c r="X131" i="1"/>
  <c r="T131" i="1"/>
  <c r="V152" i="1"/>
  <c r="R152" i="1"/>
  <c r="T87" i="1"/>
  <c r="U90" i="1"/>
  <c r="AQ98" i="1"/>
  <c r="AG107" i="1"/>
  <c r="Q113" i="1"/>
  <c r="AK118" i="1"/>
  <c r="AM122" i="1"/>
  <c r="AJ122" i="1"/>
  <c r="AL122" i="1" s="1"/>
  <c r="K132" i="1"/>
  <c r="U132" i="1"/>
  <c r="Q132" i="1"/>
  <c r="AM133" i="1"/>
  <c r="AJ133" i="1"/>
  <c r="AL133" i="1" s="1"/>
  <c r="AB136" i="1"/>
  <c r="AD136" i="1" s="1"/>
  <c r="AE136" i="1" s="1"/>
  <c r="AN106" i="1"/>
  <c r="T107" i="1"/>
  <c r="X107" i="1"/>
  <c r="AH107" i="1"/>
  <c r="T111" i="1"/>
  <c r="X111" i="1"/>
  <c r="U114" i="1"/>
  <c r="U117" i="1"/>
  <c r="AJ119" i="1"/>
  <c r="AL119" i="1" s="1"/>
  <c r="AK120" i="1"/>
  <c r="K123" i="1"/>
  <c r="Q123" i="1"/>
  <c r="U123" i="1"/>
  <c r="V124" i="1"/>
  <c r="U129" i="1"/>
  <c r="AF161" i="1"/>
  <c r="AD161" i="1"/>
  <c r="AI106" i="1"/>
  <c r="R108" i="1"/>
  <c r="AK111" i="1"/>
  <c r="U115" i="1"/>
  <c r="U116" i="1"/>
  <c r="AN118" i="1"/>
  <c r="AQ120" i="1"/>
  <c r="AA122" i="1"/>
  <c r="AM123" i="1"/>
  <c r="AF125" i="1"/>
  <c r="AC125" i="1"/>
  <c r="AE125" i="1" s="1"/>
  <c r="AG125" i="1"/>
  <c r="AN127" i="1"/>
  <c r="AJ127" i="1"/>
  <c r="AL127" i="1" s="1"/>
  <c r="AD128" i="1"/>
  <c r="AE128" i="1" s="1"/>
  <c r="U135" i="1"/>
  <c r="Q135" i="1"/>
  <c r="K135" i="1"/>
  <c r="V136" i="1"/>
  <c r="R136" i="1"/>
  <c r="AJ136" i="1"/>
  <c r="AL136" i="1" s="1"/>
  <c r="AI100" i="1"/>
  <c r="AK100" i="1" s="1"/>
  <c r="AQ102" i="1"/>
  <c r="AI103" i="1"/>
  <c r="AK103" i="1" s="1"/>
  <c r="V115" i="1"/>
  <c r="AM131" i="1"/>
  <c r="AJ131" i="1"/>
  <c r="AL131" i="1" s="1"/>
  <c r="AN131" i="1"/>
  <c r="AN136" i="1"/>
  <c r="AN141" i="1"/>
  <c r="AM141" i="1"/>
  <c r="AJ141" i="1"/>
  <c r="AL141" i="1" s="1"/>
  <c r="U126" i="1"/>
  <c r="V130" i="1"/>
  <c r="AC134" i="1"/>
  <c r="AF134" i="1"/>
  <c r="AG134" i="1"/>
  <c r="AM136" i="1"/>
  <c r="AG142" i="1"/>
  <c r="AF142" i="1"/>
  <c r="AC142" i="1"/>
  <c r="AE142" i="1" s="1"/>
  <c r="AH144" i="1"/>
  <c r="U150" i="1"/>
  <c r="Q150" i="1"/>
  <c r="AI150" i="1"/>
  <c r="AI134" i="1"/>
  <c r="AK134" i="1" s="1"/>
  <c r="AB134" i="1"/>
  <c r="AD134" i="1" s="1"/>
  <c r="AI140" i="1"/>
  <c r="AK140" i="1" s="1"/>
  <c r="AB140" i="1"/>
  <c r="AI145" i="1"/>
  <c r="AK145" i="1" s="1"/>
  <c r="AB145" i="1"/>
  <c r="AD145" i="1" s="1"/>
  <c r="AE145" i="1" s="1"/>
  <c r="AK148" i="1"/>
  <c r="R150" i="1"/>
  <c r="V150" i="1"/>
  <c r="AN150" i="1"/>
  <c r="AI151" i="1"/>
  <c r="AB151" i="1"/>
  <c r="AG162" i="1"/>
  <c r="AC162" i="1"/>
  <c r="AA138" i="1"/>
  <c r="AH138" i="1"/>
  <c r="U144" i="1"/>
  <c r="Q144" i="1"/>
  <c r="K144" i="1"/>
  <c r="K157" i="1"/>
  <c r="AJ157" i="1" s="1"/>
  <c r="AL157" i="1" s="1"/>
  <c r="Q157" i="1"/>
  <c r="U157" i="1"/>
  <c r="AJ166" i="1"/>
  <c r="AM166" i="1"/>
  <c r="U128" i="1"/>
  <c r="AG131" i="1"/>
  <c r="AM134" i="1"/>
  <c r="AJ134" i="1"/>
  <c r="AL134" i="1" s="1"/>
  <c r="AN134" i="1"/>
  <c r="AG135" i="1"/>
  <c r="AC135" i="1"/>
  <c r="AE135" i="1" s="1"/>
  <c r="AF135" i="1"/>
  <c r="AH162" i="1"/>
  <c r="AB135" i="1"/>
  <c r="AD135" i="1" s="1"/>
  <c r="AI135" i="1"/>
  <c r="AK135" i="1" s="1"/>
  <c r="U138" i="1"/>
  <c r="Q138" i="1"/>
  <c r="U142" i="1"/>
  <c r="Q142" i="1"/>
  <c r="K142" i="1"/>
  <c r="AN142" i="1" s="1"/>
  <c r="AJ145" i="1"/>
  <c r="Q151" i="1"/>
  <c r="AG151" i="1"/>
  <c r="Q154" i="1"/>
  <c r="K154" i="1"/>
  <c r="U154" i="1"/>
  <c r="V155" i="1"/>
  <c r="R155" i="1"/>
  <c r="T161" i="1"/>
  <c r="X161" i="1"/>
  <c r="V174" i="1"/>
  <c r="R174" i="1"/>
  <c r="U177" i="1"/>
  <c r="Q177" i="1"/>
  <c r="K177" i="1"/>
  <c r="AN177" i="1" s="1"/>
  <c r="AJ178" i="1"/>
  <c r="AL178" i="1" s="1"/>
  <c r="AG178" i="1"/>
  <c r="U178" i="1"/>
  <c r="Q178" i="1"/>
  <c r="AC178" i="1"/>
  <c r="AE178" i="1" s="1"/>
  <c r="K178" i="1"/>
  <c r="AG183" i="1"/>
  <c r="AC183" i="1"/>
  <c r="AN130" i="1"/>
  <c r="AC131" i="1"/>
  <c r="AE131" i="1" s="1"/>
  <c r="AH135" i="1"/>
  <c r="AC137" i="1"/>
  <c r="AE137" i="1" s="1"/>
  <c r="AF137" i="1"/>
  <c r="K138" i="1"/>
  <c r="AJ148" i="1"/>
  <c r="AL148" i="1" s="1"/>
  <c r="K151" i="1"/>
  <c r="AN151" i="1" s="1"/>
  <c r="AI159" i="1"/>
  <c r="AK159" i="1" s="1"/>
  <c r="U182" i="1"/>
  <c r="Q182" i="1"/>
  <c r="K182" i="1"/>
  <c r="AN182" i="1" s="1"/>
  <c r="AC182" i="1"/>
  <c r="AE182" i="1" s="1"/>
  <c r="T123" i="1"/>
  <c r="X123" i="1"/>
  <c r="AE130" i="1"/>
  <c r="AA133" i="1"/>
  <c r="T142" i="1"/>
  <c r="X142" i="1"/>
  <c r="AI146" i="1"/>
  <c r="AK146" i="1" s="1"/>
  <c r="AB146" i="1"/>
  <c r="U148" i="1"/>
  <c r="Q148" i="1"/>
  <c r="AC148" i="1"/>
  <c r="AE148" i="1" s="1"/>
  <c r="K148" i="1"/>
  <c r="AN148" i="1" s="1"/>
  <c r="AI152" i="1"/>
  <c r="AK152" i="1" s="1"/>
  <c r="AB152" i="1"/>
  <c r="U162" i="1"/>
  <c r="K162" i="1"/>
  <c r="Q162" i="1"/>
  <c r="AN166" i="1"/>
  <c r="AK128" i="1"/>
  <c r="Q133" i="1"/>
  <c r="U133" i="1"/>
  <c r="AG139" i="1"/>
  <c r="AF139" i="1"/>
  <c r="AC139" i="1"/>
  <c r="AE139" i="1" s="1"/>
  <c r="AJ149" i="1"/>
  <c r="AL149" i="1" s="1"/>
  <c r="AH153" i="1"/>
  <c r="AA153" i="1"/>
  <c r="AK158" i="1"/>
  <c r="X158" i="1"/>
  <c r="T158" i="1"/>
  <c r="AI167" i="1"/>
  <c r="AK167" i="1" s="1"/>
  <c r="AB167" i="1"/>
  <c r="AD167" i="1" s="1"/>
  <c r="AH169" i="1"/>
  <c r="AA169" i="1"/>
  <c r="Q183" i="1"/>
  <c r="K183" i="1"/>
  <c r="U183" i="1"/>
  <c r="AF127" i="1"/>
  <c r="AM130" i="1"/>
  <c r="AN139" i="1"/>
  <c r="AF141" i="1"/>
  <c r="V143" i="1"/>
  <c r="R143" i="1"/>
  <c r="AN143" i="1"/>
  <c r="AG144" i="1"/>
  <c r="AC144" i="1"/>
  <c r="AE144" i="1" s="1"/>
  <c r="AF144" i="1"/>
  <c r="V149" i="1"/>
  <c r="R149" i="1"/>
  <c r="T151" i="1"/>
  <c r="AI156" i="1"/>
  <c r="AK156" i="1" s="1"/>
  <c r="AB156" i="1"/>
  <c r="AD156" i="1" s="1"/>
  <c r="Q159" i="1"/>
  <c r="K159" i="1"/>
  <c r="U159" i="1"/>
  <c r="V160" i="1"/>
  <c r="R160" i="1"/>
  <c r="AG160" i="1"/>
  <c r="AN165" i="1"/>
  <c r="AM165" i="1"/>
  <c r="AJ165" i="1"/>
  <c r="AL165" i="1" s="1"/>
  <c r="U141" i="1"/>
  <c r="Q141" i="1"/>
  <c r="K141" i="1"/>
  <c r="AG149" i="1"/>
  <c r="U156" i="1"/>
  <c r="Q156" i="1"/>
  <c r="AH156" i="1"/>
  <c r="K158" i="1"/>
  <c r="U158" i="1"/>
  <c r="AQ163" i="1"/>
  <c r="AA166" i="1"/>
  <c r="X170" i="1"/>
  <c r="AK170" i="1"/>
  <c r="T170" i="1"/>
  <c r="AF174" i="1"/>
  <c r="AG174" i="1"/>
  <c r="AB177" i="1"/>
  <c r="AD177" i="1" s="1"/>
  <c r="AI177" i="1"/>
  <c r="K196" i="1"/>
  <c r="AJ196" i="1" s="1"/>
  <c r="AL196" i="1" s="1"/>
  <c r="U196" i="1"/>
  <c r="Q196" i="1"/>
  <c r="AQ135" i="1"/>
  <c r="T146" i="1"/>
  <c r="AG148" i="1"/>
  <c r="AF148" i="1"/>
  <c r="AQ149" i="1"/>
  <c r="AJ150" i="1"/>
  <c r="K153" i="1"/>
  <c r="U153" i="1"/>
  <c r="Q153" i="1"/>
  <c r="U155" i="1"/>
  <c r="AG155" i="1"/>
  <c r="AC155" i="1"/>
  <c r="AE155" i="1" s="1"/>
  <c r="AN157" i="1"/>
  <c r="Q158" i="1"/>
  <c r="AH159" i="1"/>
  <c r="AA159" i="1"/>
  <c r="X160" i="1"/>
  <c r="AK160" i="1"/>
  <c r="AJ160" i="1"/>
  <c r="AL160" i="1" s="1"/>
  <c r="K164" i="1"/>
  <c r="AM164" i="1" s="1"/>
  <c r="Q164" i="1"/>
  <c r="AF178" i="1"/>
  <c r="K180" i="1"/>
  <c r="AJ180" i="1" s="1"/>
  <c r="U180" i="1"/>
  <c r="AN180" i="1"/>
  <c r="X190" i="1"/>
  <c r="T190" i="1"/>
  <c r="T195" i="1"/>
  <c r="X195" i="1"/>
  <c r="AK195" i="1"/>
  <c r="AQ133" i="1"/>
  <c r="AG136" i="1"/>
  <c r="AF136" i="1"/>
  <c r="AM140" i="1"/>
  <c r="AK142" i="1"/>
  <c r="AF150" i="1"/>
  <c r="AC150" i="1"/>
  <c r="AE150" i="1" s="1"/>
  <c r="AG152" i="1"/>
  <c r="AC152" i="1"/>
  <c r="X164" i="1"/>
  <c r="T164" i="1"/>
  <c r="AQ166" i="1"/>
  <c r="V176" i="1"/>
  <c r="R176" i="1"/>
  <c r="R186" i="1"/>
  <c r="V186" i="1"/>
  <c r="AI193" i="1"/>
  <c r="AK193" i="1" s="1"/>
  <c r="AB193" i="1"/>
  <c r="AD193" i="1" s="1"/>
  <c r="AF194" i="1"/>
  <c r="AD194" i="1"/>
  <c r="AA158" i="1"/>
  <c r="AH158" i="1"/>
  <c r="AE161" i="1"/>
  <c r="Q165" i="1"/>
  <c r="K165" i="1"/>
  <c r="U165" i="1"/>
  <c r="AH171" i="1"/>
  <c r="AA171" i="1"/>
  <c r="V172" i="1"/>
  <c r="R172" i="1"/>
  <c r="AA175" i="1"/>
  <c r="AH175" i="1"/>
  <c r="X145" i="1"/>
  <c r="AC146" i="1"/>
  <c r="AH152" i="1"/>
  <c r="AN160" i="1"/>
  <c r="K163" i="1"/>
  <c r="AM163" i="1" s="1"/>
  <c r="AJ163" i="1"/>
  <c r="AL163" i="1" s="1"/>
  <c r="U163" i="1"/>
  <c r="Q163" i="1"/>
  <c r="AF173" i="1"/>
  <c r="AN132" i="1"/>
  <c r="AM132" i="1"/>
  <c r="AG141" i="1"/>
  <c r="AC141" i="1"/>
  <c r="AE141" i="1" s="1"/>
  <c r="U147" i="1"/>
  <c r="Q147" i="1"/>
  <c r="K147" i="1"/>
  <c r="AB149" i="1"/>
  <c r="AI149" i="1"/>
  <c r="AK149" i="1" s="1"/>
  <c r="AF163" i="1"/>
  <c r="AG164" i="1"/>
  <c r="K167" i="1"/>
  <c r="X172" i="1"/>
  <c r="AK172" i="1"/>
  <c r="T172" i="1"/>
  <c r="AG182" i="1"/>
  <c r="AF182" i="1"/>
  <c r="AG168" i="1"/>
  <c r="AC168" i="1"/>
  <c r="AE168" i="1" s="1"/>
  <c r="AQ170" i="1"/>
  <c r="AC173" i="1"/>
  <c r="AE173" i="1" s="1"/>
  <c r="K173" i="1"/>
  <c r="U173" i="1"/>
  <c r="Q173" i="1"/>
  <c r="AN174" i="1"/>
  <c r="AJ132" i="1"/>
  <c r="AL132" i="1" s="1"/>
  <c r="AM137" i="1"/>
  <c r="AJ137" i="1"/>
  <c r="AL137" i="1" s="1"/>
  <c r="AG145" i="1"/>
  <c r="AC151" i="1"/>
  <c r="AC167" i="1"/>
  <c r="AE167" i="1" s="1"/>
  <c r="Q179" i="1"/>
  <c r="U179" i="1"/>
  <c r="K179" i="1"/>
  <c r="AM179" i="1" s="1"/>
  <c r="AJ183" i="1"/>
  <c r="AL183" i="1" s="1"/>
  <c r="AC186" i="1"/>
  <c r="AE186" i="1" s="1"/>
  <c r="K188" i="1"/>
  <c r="U188" i="1"/>
  <c r="AJ198" i="1"/>
  <c r="AL198" i="1" s="1"/>
  <c r="AN198" i="1"/>
  <c r="AM198" i="1"/>
  <c r="AG200" i="1"/>
  <c r="Q200" i="1"/>
  <c r="K200" i="1"/>
  <c r="AJ200" i="1" s="1"/>
  <c r="AL200" i="1" s="1"/>
  <c r="AQ168" i="1"/>
  <c r="AN173" i="1"/>
  <c r="AM173" i="1"/>
  <c r="AK174" i="1"/>
  <c r="AA181" i="1"/>
  <c r="AC185" i="1"/>
  <c r="AG187" i="1"/>
  <c r="Q193" i="1"/>
  <c r="U193" i="1"/>
  <c r="AG195" i="1"/>
  <c r="AF195" i="1"/>
  <c r="AF198" i="1"/>
  <c r="AC198" i="1"/>
  <c r="AE198" i="1" s="1"/>
  <c r="AG198" i="1"/>
  <c r="AF201" i="1"/>
  <c r="AC201" i="1"/>
  <c r="AE201" i="1" s="1"/>
  <c r="AG201" i="1"/>
  <c r="Q188" i="1"/>
  <c r="K193" i="1"/>
  <c r="Q194" i="1"/>
  <c r="AC194" i="1"/>
  <c r="AE194" i="1" s="1"/>
  <c r="K194" i="1"/>
  <c r="U197" i="1"/>
  <c r="Q197" i="1"/>
  <c r="K197" i="1"/>
  <c r="AQ150" i="1"/>
  <c r="T166" i="1"/>
  <c r="AF167" i="1"/>
  <c r="AJ173" i="1"/>
  <c r="AL173" i="1" s="1"/>
  <c r="K181" i="1"/>
  <c r="AM181" i="1" s="1"/>
  <c r="Q181" i="1"/>
  <c r="AB185" i="1"/>
  <c r="Q186" i="1"/>
  <c r="Q198" i="1"/>
  <c r="U198" i="1"/>
  <c r="AM155" i="1"/>
  <c r="AG167" i="1"/>
  <c r="AF170" i="1"/>
  <c r="AJ172" i="1"/>
  <c r="AL172" i="1" s="1"/>
  <c r="AM172" i="1"/>
  <c r="X174" i="1"/>
  <c r="AA176" i="1"/>
  <c r="AH176" i="1"/>
  <c r="AN178" i="1"/>
  <c r="AB180" i="1"/>
  <c r="AD180" i="1" s="1"/>
  <c r="AI180" i="1"/>
  <c r="AH184" i="1"/>
  <c r="AA184" i="1"/>
  <c r="U187" i="1"/>
  <c r="AC187" i="1"/>
  <c r="AE187" i="1" s="1"/>
  <c r="K187" i="1"/>
  <c r="AC189" i="1"/>
  <c r="AH192" i="1"/>
  <c r="AA192" i="1"/>
  <c r="AC195" i="1"/>
  <c r="AE195" i="1" s="1"/>
  <c r="AG196" i="1"/>
  <c r="U200" i="1"/>
  <c r="AH201" i="1"/>
  <c r="AJ140" i="1"/>
  <c r="AL140" i="1" s="1"/>
  <c r="AJ143" i="1"/>
  <c r="AL143" i="1" s="1"/>
  <c r="AJ146" i="1"/>
  <c r="AL146" i="1" s="1"/>
  <c r="AM160" i="1"/>
  <c r="AB162" i="1"/>
  <c r="AD162" i="1" s="1"/>
  <c r="AF164" i="1"/>
  <c r="AA165" i="1"/>
  <c r="AH167" i="1"/>
  <c r="K169" i="1"/>
  <c r="K170" i="1"/>
  <c r="AC170" i="1"/>
  <c r="AE170" i="1" s="1"/>
  <c r="K171" i="1"/>
  <c r="AM174" i="1"/>
  <c r="AJ174" i="1"/>
  <c r="AF180" i="1"/>
  <c r="AK182" i="1"/>
  <c r="X182" i="1"/>
  <c r="T182" i="1"/>
  <c r="AM182" i="1"/>
  <c r="AJ182" i="1"/>
  <c r="AL182" i="1" s="1"/>
  <c r="AG189" i="1"/>
  <c r="AK190" i="1"/>
  <c r="AL191" i="1"/>
  <c r="AM195" i="1"/>
  <c r="AA199" i="1"/>
  <c r="AH199" i="1"/>
  <c r="AM204" i="1"/>
  <c r="X208" i="1"/>
  <c r="T208" i="1"/>
  <c r="AJ155" i="1"/>
  <c r="AL155" i="1" s="1"/>
  <c r="AA157" i="1"/>
  <c r="U161" i="1"/>
  <c r="AH161" i="1"/>
  <c r="AD170" i="1"/>
  <c r="AA172" i="1"/>
  <c r="AB176" i="1"/>
  <c r="AD176" i="1" s="1"/>
  <c r="AJ177" i="1"/>
  <c r="AM178" i="1"/>
  <c r="AC180" i="1"/>
  <c r="AE180" i="1" s="1"/>
  <c r="Q185" i="1"/>
  <c r="AG185" i="1"/>
  <c r="AJ189" i="1"/>
  <c r="AL189" i="1" s="1"/>
  <c r="AN189" i="1"/>
  <c r="AM189" i="1"/>
  <c r="AL195" i="1"/>
  <c r="AF196" i="1"/>
  <c r="AA188" i="1"/>
  <c r="AH188" i="1"/>
  <c r="AN155" i="1"/>
  <c r="AK166" i="1"/>
  <c r="Q170" i="1"/>
  <c r="AG170" i="1"/>
  <c r="Q176" i="1"/>
  <c r="U176" i="1"/>
  <c r="AI183" i="1"/>
  <c r="AK183" i="1" s="1"/>
  <c r="AB183" i="1"/>
  <c r="AD183" i="1" s="1"/>
  <c r="AQ185" i="1"/>
  <c r="AN186" i="1"/>
  <c r="AM186" i="1"/>
  <c r="AA193" i="1"/>
  <c r="AH193" i="1"/>
  <c r="AA197" i="1"/>
  <c r="AH197" i="1"/>
  <c r="AQ153" i="1"/>
  <c r="AB166" i="1"/>
  <c r="AD166" i="1" s="1"/>
  <c r="U169" i="1"/>
  <c r="AJ170" i="1"/>
  <c r="U171" i="1"/>
  <c r="U185" i="1"/>
  <c r="AG186" i="1"/>
  <c r="AF186" i="1"/>
  <c r="U192" i="1"/>
  <c r="Q192" i="1"/>
  <c r="K192" i="1"/>
  <c r="AG194" i="1"/>
  <c r="AC200" i="1"/>
  <c r="AE200" i="1" s="1"/>
  <c r="AG190" i="1"/>
  <c r="AB191" i="1"/>
  <c r="U195" i="1"/>
  <c r="AC196" i="1"/>
  <c r="K202" i="1"/>
  <c r="R203" i="1"/>
  <c r="T204" i="1"/>
  <c r="X204" i="1"/>
  <c r="AK204" i="1"/>
  <c r="U207" i="1"/>
  <c r="V208" i="1"/>
  <c r="R208" i="1"/>
  <c r="AH185" i="1"/>
  <c r="AB186" i="1"/>
  <c r="AD186" i="1" s="1"/>
  <c r="K189" i="1"/>
  <c r="U190" i="1"/>
  <c r="AH190" i="1"/>
  <c r="X192" i="1"/>
  <c r="AQ194" i="1"/>
  <c r="V195" i="1"/>
  <c r="AD196" i="1"/>
  <c r="X197" i="1"/>
  <c r="AF200" i="1"/>
  <c r="Q201" i="1"/>
  <c r="K201" i="1"/>
  <c r="AI202" i="1"/>
  <c r="AK202" i="1" s="1"/>
  <c r="Q206" i="1"/>
  <c r="K206" i="1"/>
  <c r="U206" i="1"/>
  <c r="AA209" i="1"/>
  <c r="AH209" i="1"/>
  <c r="Q210" i="1"/>
  <c r="AA177" i="1"/>
  <c r="AA179" i="1"/>
  <c r="AB189" i="1"/>
  <c r="AD189" i="1" s="1"/>
  <c r="T201" i="1"/>
  <c r="X201" i="1"/>
  <c r="Q202" i="1"/>
  <c r="AH207" i="1"/>
  <c r="AA207" i="1"/>
  <c r="Q208" i="1"/>
  <c r="V211" i="1"/>
  <c r="R211" i="1"/>
  <c r="Q212" i="1"/>
  <c r="K212" i="1"/>
  <c r="U212" i="1"/>
  <c r="AQ192" i="1"/>
  <c r="AB197" i="1"/>
  <c r="AD197" i="1" s="1"/>
  <c r="AI199" i="1"/>
  <c r="AK199" i="1" s="1"/>
  <c r="AJ203" i="1"/>
  <c r="AL203" i="1" s="1"/>
  <c r="AG205" i="1"/>
  <c r="AC205" i="1"/>
  <c r="AE205" i="1" s="1"/>
  <c r="U210" i="1"/>
  <c r="AB169" i="1"/>
  <c r="AD169" i="1" s="1"/>
  <c r="AM170" i="1"/>
  <c r="AM191" i="1"/>
  <c r="AN195" i="1"/>
  <c r="AM196" i="1"/>
  <c r="R209" i="1"/>
  <c r="V209" i="1"/>
  <c r="K190" i="1"/>
  <c r="AQ195" i="1"/>
  <c r="V199" i="1"/>
  <c r="AF205" i="1"/>
  <c r="AJ202" i="1"/>
  <c r="AL202" i="1" s="1"/>
  <c r="AN202" i="1"/>
  <c r="AF204" i="1"/>
  <c r="AC204" i="1"/>
  <c r="AE204" i="1" s="1"/>
  <c r="U205" i="1"/>
  <c r="Q205" i="1"/>
  <c r="AC206" i="1"/>
  <c r="AE206" i="1" s="1"/>
  <c r="AG206" i="1"/>
  <c r="V207" i="1"/>
  <c r="R207" i="1"/>
  <c r="AA208" i="1"/>
  <c r="AH208" i="1"/>
  <c r="AN210" i="1"/>
  <c r="AM210" i="1"/>
  <c r="AF203" i="1"/>
  <c r="K205" i="1"/>
  <c r="AJ205" i="1" s="1"/>
  <c r="AL205" i="1" s="1"/>
  <c r="Q209" i="1"/>
  <c r="AC212" i="1"/>
  <c r="AE212" i="1" s="1"/>
  <c r="AG212" i="1"/>
  <c r="AF212" i="1"/>
  <c r="AF187" i="1"/>
  <c r="AQ188" i="1"/>
  <c r="AA202" i="1"/>
  <c r="Q207" i="1"/>
  <c r="AF211" i="1"/>
  <c r="AC211" i="1"/>
  <c r="AN191" i="1"/>
  <c r="AC203" i="1"/>
  <c r="AE203" i="1" s="1"/>
  <c r="Q204" i="1"/>
  <c r="K204" i="1"/>
  <c r="AG204" i="1"/>
  <c r="AH187" i="1"/>
  <c r="AF206" i="1"/>
  <c r="U209" i="1"/>
  <c r="V210" i="1"/>
  <c r="R210" i="1"/>
  <c r="AJ210" i="1"/>
  <c r="AL210" i="1" s="1"/>
  <c r="AB211" i="1"/>
  <c r="AD211" i="1" s="1"/>
  <c r="T212" i="1"/>
  <c r="Q211" i="1"/>
  <c r="AH212" i="1"/>
  <c r="AH206" i="1"/>
  <c r="AI209" i="1"/>
  <c r="AK209" i="1" s="1"/>
  <c r="AA210" i="1"/>
  <c r="AI212" i="1"/>
  <c r="AK212" i="1" s="1"/>
  <c r="AB207" i="1"/>
  <c r="AD207" i="1" s="1"/>
  <c r="AB210" i="1"/>
  <c r="AD210" i="1" s="1"/>
  <c r="T211" i="1"/>
  <c r="AH211" i="1"/>
  <c r="AF154" i="1" l="1"/>
  <c r="AC154" i="1"/>
  <c r="AE154" i="1" s="1"/>
  <c r="AG154" i="1"/>
  <c r="AN200" i="1"/>
  <c r="AN207" i="1"/>
  <c r="AM207" i="1"/>
  <c r="AJ207" i="1"/>
  <c r="AL207" i="1" s="1"/>
  <c r="AE196" i="1"/>
  <c r="AF172" i="1"/>
  <c r="AC172" i="1"/>
  <c r="AE172" i="1" s="1"/>
  <c r="AG172" i="1"/>
  <c r="AJ201" i="1"/>
  <c r="AL201" i="1" s="1"/>
  <c r="AN201" i="1"/>
  <c r="AM201" i="1"/>
  <c r="AN184" i="1"/>
  <c r="AJ184" i="1"/>
  <c r="AL184" i="1" s="1"/>
  <c r="AM184" i="1"/>
  <c r="AM200" i="1"/>
  <c r="V147" i="1"/>
  <c r="R147" i="1"/>
  <c r="V153" i="1"/>
  <c r="R153" i="1"/>
  <c r="AM183" i="1"/>
  <c r="R159" i="1"/>
  <c r="V159" i="1"/>
  <c r="AF183" i="1"/>
  <c r="AM148" i="1"/>
  <c r="AN162" i="1"/>
  <c r="AJ162" i="1"/>
  <c r="AL162" i="1" s="1"/>
  <c r="AM162" i="1"/>
  <c r="AN164" i="1"/>
  <c r="AN147" i="1"/>
  <c r="AM147" i="1"/>
  <c r="AJ147" i="1"/>
  <c r="AL147" i="1" s="1"/>
  <c r="V117" i="1"/>
  <c r="R117" i="1"/>
  <c r="AG116" i="1"/>
  <c r="AF116" i="1"/>
  <c r="AC116" i="1"/>
  <c r="AE116" i="1" s="1"/>
  <c r="AL128" i="1"/>
  <c r="AG103" i="1"/>
  <c r="AF103" i="1"/>
  <c r="AC103" i="1"/>
  <c r="AE103" i="1" s="1"/>
  <c r="AJ111" i="1"/>
  <c r="AL111" i="1" s="1"/>
  <c r="AM111" i="1"/>
  <c r="AN111" i="1"/>
  <c r="R104" i="1"/>
  <c r="V104" i="1"/>
  <c r="AN104" i="1"/>
  <c r="AJ104" i="1"/>
  <c r="AL104" i="1" s="1"/>
  <c r="AM104" i="1"/>
  <c r="AF98" i="1"/>
  <c r="AG98" i="1"/>
  <c r="AC98" i="1"/>
  <c r="AE98" i="1" s="1"/>
  <c r="R67" i="1"/>
  <c r="V67" i="1"/>
  <c r="AM69" i="1"/>
  <c r="AE26" i="1"/>
  <c r="R71" i="1"/>
  <c r="V71" i="1"/>
  <c r="AG48" i="1"/>
  <c r="AF48" i="1"/>
  <c r="AC48" i="1"/>
  <c r="AE48" i="1" s="1"/>
  <c r="AN12" i="1"/>
  <c r="AJ12" i="1"/>
  <c r="AL12" i="1" s="1"/>
  <c r="AM12" i="1"/>
  <c r="AL7" i="1"/>
  <c r="AM34" i="1"/>
  <c r="AK34" i="1"/>
  <c r="AM39" i="1"/>
  <c r="AJ39" i="1"/>
  <c r="AL39" i="1" s="1"/>
  <c r="AN39" i="1"/>
  <c r="R33" i="1"/>
  <c r="V33" i="1"/>
  <c r="AN33" i="1"/>
  <c r="AJ6" i="1"/>
  <c r="AL6" i="1" s="1"/>
  <c r="AD44" i="1"/>
  <c r="AE44" i="1" s="1"/>
  <c r="AF44" i="1"/>
  <c r="AN35" i="1"/>
  <c r="AG11" i="1"/>
  <c r="AF11" i="1"/>
  <c r="AC11" i="1"/>
  <c r="AE11" i="1" s="1"/>
  <c r="AM10" i="1"/>
  <c r="V14" i="1"/>
  <c r="R14" i="1"/>
  <c r="X2" i="1"/>
  <c r="T2" i="1"/>
  <c r="V2" i="1"/>
  <c r="R2" i="1"/>
  <c r="AM208" i="1"/>
  <c r="AJ208" i="1"/>
  <c r="AL208" i="1" s="1"/>
  <c r="AN208" i="1"/>
  <c r="AC199" i="1"/>
  <c r="AE199" i="1" s="1"/>
  <c r="AF199" i="1"/>
  <c r="AG199" i="1"/>
  <c r="AM206" i="1"/>
  <c r="AN206" i="1"/>
  <c r="AJ206" i="1"/>
  <c r="AL206" i="1" s="1"/>
  <c r="AM187" i="1"/>
  <c r="AN187" i="1"/>
  <c r="AJ187" i="1"/>
  <c r="AL187" i="1" s="1"/>
  <c r="V189" i="1"/>
  <c r="R189" i="1"/>
  <c r="AL170" i="1"/>
  <c r="V170" i="1"/>
  <c r="AN170" i="1"/>
  <c r="R170" i="1"/>
  <c r="AK180" i="1"/>
  <c r="AL180" i="1" s="1"/>
  <c r="AM180" i="1"/>
  <c r="V197" i="1"/>
  <c r="R197" i="1"/>
  <c r="AC181" i="1"/>
  <c r="AE181" i="1" s="1"/>
  <c r="AG181" i="1"/>
  <c r="AF181" i="1"/>
  <c r="AM152" i="1"/>
  <c r="AJ152" i="1"/>
  <c r="AL152" i="1" s="1"/>
  <c r="AN152" i="1"/>
  <c r="AF146" i="1"/>
  <c r="AD146" i="1"/>
  <c r="AD151" i="1"/>
  <c r="AF151" i="1"/>
  <c r="AK150" i="1"/>
  <c r="AL150" i="1" s="1"/>
  <c r="AM150" i="1"/>
  <c r="AG147" i="1"/>
  <c r="AC147" i="1"/>
  <c r="AE147" i="1" s="1"/>
  <c r="AF147" i="1"/>
  <c r="AM139" i="1"/>
  <c r="AG114" i="1"/>
  <c r="AF114" i="1"/>
  <c r="AC114" i="1"/>
  <c r="AE114" i="1" s="1"/>
  <c r="AE156" i="1"/>
  <c r="AN103" i="1"/>
  <c r="AJ103" i="1"/>
  <c r="AL103" i="1" s="1"/>
  <c r="AM103" i="1"/>
  <c r="R98" i="1"/>
  <c r="V98" i="1"/>
  <c r="AN101" i="1"/>
  <c r="AM101" i="1"/>
  <c r="AJ101" i="1"/>
  <c r="AL101" i="1" s="1"/>
  <c r="AN78" i="1"/>
  <c r="AM78" i="1"/>
  <c r="AJ78" i="1"/>
  <c r="AL78" i="1" s="1"/>
  <c r="AM115" i="1"/>
  <c r="AJ115" i="1"/>
  <c r="AL115" i="1" s="1"/>
  <c r="AN115" i="1"/>
  <c r="R69" i="1"/>
  <c r="V69" i="1"/>
  <c r="AJ69" i="1"/>
  <c r="AL69" i="1" s="1"/>
  <c r="AF71" i="1"/>
  <c r="AM62" i="1"/>
  <c r="R80" i="1"/>
  <c r="V80" i="1"/>
  <c r="AJ65" i="1"/>
  <c r="AL65" i="1" s="1"/>
  <c r="AN65" i="1"/>
  <c r="AM65" i="1"/>
  <c r="AG21" i="1"/>
  <c r="AF21" i="1"/>
  <c r="AC21" i="1"/>
  <c r="AE21" i="1" s="1"/>
  <c r="AL50" i="1"/>
  <c r="AC51" i="1"/>
  <c r="AE51" i="1" s="1"/>
  <c r="AG51" i="1"/>
  <c r="AF51" i="1"/>
  <c r="AL26" i="1"/>
  <c r="V46" i="1"/>
  <c r="R46" i="1"/>
  <c r="AM30" i="1"/>
  <c r="R45" i="1"/>
  <c r="V45" i="1"/>
  <c r="T13" i="1"/>
  <c r="X13" i="1"/>
  <c r="AG202" i="1"/>
  <c r="AC202" i="1"/>
  <c r="AE202" i="1" s="1"/>
  <c r="AF202" i="1"/>
  <c r="AN212" i="1"/>
  <c r="AM212" i="1"/>
  <c r="AJ212" i="1"/>
  <c r="AL212" i="1" s="1"/>
  <c r="R190" i="1"/>
  <c r="V190" i="1"/>
  <c r="R201" i="1"/>
  <c r="V201" i="1"/>
  <c r="AF191" i="1"/>
  <c r="AD191" i="1"/>
  <c r="AE191" i="1" s="1"/>
  <c r="AM161" i="1"/>
  <c r="AN161" i="1"/>
  <c r="AJ161" i="1"/>
  <c r="AL161" i="1" s="1"/>
  <c r="R169" i="1"/>
  <c r="V169" i="1"/>
  <c r="V188" i="1"/>
  <c r="R188" i="1"/>
  <c r="AE146" i="1"/>
  <c r="AM158" i="1"/>
  <c r="AN158" i="1"/>
  <c r="AJ158" i="1"/>
  <c r="AL158" i="1" s="1"/>
  <c r="R141" i="1"/>
  <c r="V141" i="1"/>
  <c r="V178" i="1"/>
  <c r="R178" i="1"/>
  <c r="AL145" i="1"/>
  <c r="AK151" i="1"/>
  <c r="AM151" i="1"/>
  <c r="AJ107" i="1"/>
  <c r="AL107" i="1" s="1"/>
  <c r="AM107" i="1"/>
  <c r="AN107" i="1"/>
  <c r="AM146" i="1"/>
  <c r="R114" i="1"/>
  <c r="V114" i="1"/>
  <c r="AG112" i="1"/>
  <c r="AF112" i="1"/>
  <c r="AC112" i="1"/>
  <c r="AE112" i="1" s="1"/>
  <c r="AG121" i="1"/>
  <c r="AC121" i="1"/>
  <c r="AE121" i="1" s="1"/>
  <c r="AF121" i="1"/>
  <c r="AF156" i="1"/>
  <c r="R121" i="1"/>
  <c r="V121" i="1"/>
  <c r="AF101" i="1"/>
  <c r="AC101" i="1"/>
  <c r="AE101" i="1" s="1"/>
  <c r="AG101" i="1"/>
  <c r="AG115" i="1"/>
  <c r="AC115" i="1"/>
  <c r="AE115" i="1" s="1"/>
  <c r="AF115" i="1"/>
  <c r="V85" i="1"/>
  <c r="R85" i="1"/>
  <c r="AG80" i="1"/>
  <c r="AF80" i="1"/>
  <c r="AC80" i="1"/>
  <c r="AE80" i="1" s="1"/>
  <c r="V66" i="1"/>
  <c r="R66" i="1"/>
  <c r="AF26" i="1"/>
  <c r="AE71" i="1"/>
  <c r="AK74" i="1"/>
  <c r="AM74" i="1"/>
  <c r="AC65" i="1"/>
  <c r="AE65" i="1" s="1"/>
  <c r="AG65" i="1"/>
  <c r="AF65" i="1"/>
  <c r="V52" i="1"/>
  <c r="R52" i="1"/>
  <c r="AC20" i="1"/>
  <c r="AE20" i="1" s="1"/>
  <c r="AG20" i="1"/>
  <c r="AF20" i="1"/>
  <c r="AM49" i="1"/>
  <c r="AE41" i="1"/>
  <c r="AJ51" i="1"/>
  <c r="AL51" i="1" s="1"/>
  <c r="AN51" i="1"/>
  <c r="AM51" i="1"/>
  <c r="AL15" i="1"/>
  <c r="AM29" i="1"/>
  <c r="V10" i="1"/>
  <c r="R10" i="1"/>
  <c r="AC13" i="1"/>
  <c r="AE13" i="1" s="1"/>
  <c r="AG13" i="1"/>
  <c r="AF13" i="1"/>
  <c r="R22" i="1"/>
  <c r="V22" i="1"/>
  <c r="R204" i="1"/>
  <c r="V204" i="1"/>
  <c r="AN204" i="1"/>
  <c r="AM185" i="1"/>
  <c r="AN185" i="1"/>
  <c r="AJ185" i="1"/>
  <c r="AL185" i="1" s="1"/>
  <c r="AM167" i="1"/>
  <c r="AN167" i="1"/>
  <c r="AJ167" i="1"/>
  <c r="AL167" i="1" s="1"/>
  <c r="AJ179" i="1"/>
  <c r="AL179" i="1" s="1"/>
  <c r="AG158" i="1"/>
  <c r="AF158" i="1"/>
  <c r="AC158" i="1"/>
  <c r="AE158" i="1" s="1"/>
  <c r="AF159" i="1"/>
  <c r="AC159" i="1"/>
  <c r="AE159" i="1" s="1"/>
  <c r="AG159" i="1"/>
  <c r="V151" i="1"/>
  <c r="R151" i="1"/>
  <c r="AM145" i="1"/>
  <c r="V157" i="1"/>
  <c r="R157" i="1"/>
  <c r="AJ142" i="1"/>
  <c r="AL142" i="1" s="1"/>
  <c r="R139" i="1"/>
  <c r="V139" i="1"/>
  <c r="V96" i="1"/>
  <c r="R96" i="1"/>
  <c r="V101" i="1"/>
  <c r="R101" i="1"/>
  <c r="AG99" i="1"/>
  <c r="AF99" i="1"/>
  <c r="AC99" i="1"/>
  <c r="AE99" i="1" s="1"/>
  <c r="R111" i="1"/>
  <c r="V111" i="1"/>
  <c r="V88" i="1"/>
  <c r="R88" i="1"/>
  <c r="AK77" i="1"/>
  <c r="AL77" i="1" s="1"/>
  <c r="AM77" i="1"/>
  <c r="AM96" i="1"/>
  <c r="V72" i="1"/>
  <c r="R72" i="1"/>
  <c r="AM91" i="1"/>
  <c r="AC45" i="1"/>
  <c r="AE45" i="1" s="1"/>
  <c r="AG45" i="1"/>
  <c r="AF45" i="1"/>
  <c r="AN20" i="1"/>
  <c r="AM20" i="1"/>
  <c r="AJ20" i="1"/>
  <c r="AL20" i="1" s="1"/>
  <c r="R31" i="1"/>
  <c r="V31" i="1"/>
  <c r="AC2" i="1"/>
  <c r="AE2" i="1" s="1"/>
  <c r="AF2" i="1"/>
  <c r="AG2" i="1"/>
  <c r="R39" i="1"/>
  <c r="V39" i="1"/>
  <c r="AL49" i="1"/>
  <c r="AK28" i="1"/>
  <c r="AL28" i="1" s="1"/>
  <c r="AM28" i="1"/>
  <c r="V9" i="1"/>
  <c r="R9" i="1"/>
  <c r="V6" i="1"/>
  <c r="R6" i="1"/>
  <c r="V21" i="1"/>
  <c r="R21" i="1"/>
  <c r="AM21" i="1"/>
  <c r="AJ21" i="1"/>
  <c r="AL21" i="1" s="1"/>
  <c r="R34" i="1"/>
  <c r="V34" i="1"/>
  <c r="AN27" i="1"/>
  <c r="V3" i="1"/>
  <c r="R3" i="1"/>
  <c r="AC157" i="1"/>
  <c r="AE157" i="1" s="1"/>
  <c r="AF157" i="1"/>
  <c r="AG157" i="1"/>
  <c r="AF165" i="1"/>
  <c r="AG165" i="1"/>
  <c r="AC165" i="1"/>
  <c r="AE165" i="1" s="1"/>
  <c r="AG192" i="1"/>
  <c r="AC192" i="1"/>
  <c r="AE192" i="1" s="1"/>
  <c r="AF192" i="1"/>
  <c r="AN176" i="1"/>
  <c r="AJ176" i="1"/>
  <c r="AL176" i="1" s="1"/>
  <c r="AM176" i="1"/>
  <c r="AF185" i="1"/>
  <c r="AD185" i="1"/>
  <c r="AE185" i="1" s="1"/>
  <c r="V194" i="1"/>
  <c r="R194" i="1"/>
  <c r="AJ175" i="1"/>
  <c r="AL175" i="1" s="1"/>
  <c r="AN175" i="1"/>
  <c r="AM175" i="1"/>
  <c r="AJ159" i="1"/>
  <c r="AL159" i="1" s="1"/>
  <c r="AN159" i="1"/>
  <c r="AM159" i="1"/>
  <c r="AC153" i="1"/>
  <c r="AE153" i="1" s="1"/>
  <c r="AG153" i="1"/>
  <c r="AF153" i="1"/>
  <c r="R162" i="1"/>
  <c r="V162" i="1"/>
  <c r="V144" i="1"/>
  <c r="R144" i="1"/>
  <c r="AN144" i="1"/>
  <c r="AM144" i="1"/>
  <c r="AJ144" i="1"/>
  <c r="AL144" i="1" s="1"/>
  <c r="AF122" i="1"/>
  <c r="AG122" i="1"/>
  <c r="AC122" i="1"/>
  <c r="AE122" i="1" s="1"/>
  <c r="AM126" i="1"/>
  <c r="AJ126" i="1"/>
  <c r="AL126" i="1" s="1"/>
  <c r="AN126" i="1"/>
  <c r="AF96" i="1"/>
  <c r="AG96" i="1"/>
  <c r="AC96" i="1"/>
  <c r="AE96" i="1" s="1"/>
  <c r="AL84" i="1"/>
  <c r="AN96" i="1"/>
  <c r="AN58" i="1"/>
  <c r="AJ58" i="1"/>
  <c r="AL58" i="1" s="1"/>
  <c r="AM58" i="1"/>
  <c r="R63" i="1"/>
  <c r="V63" i="1"/>
  <c r="AL91" i="1"/>
  <c r="R57" i="1"/>
  <c r="V57" i="1"/>
  <c r="AJ57" i="1"/>
  <c r="AL57" i="1" s="1"/>
  <c r="R40" i="1"/>
  <c r="V40" i="1"/>
  <c r="R61" i="1"/>
  <c r="V61" i="1"/>
  <c r="AJ40" i="1"/>
  <c r="AL40" i="1" s="1"/>
  <c r="AG17" i="1"/>
  <c r="AF17" i="1"/>
  <c r="AC17" i="1"/>
  <c r="AE17" i="1" s="1"/>
  <c r="AJ34" i="1"/>
  <c r="AL34" i="1" s="1"/>
  <c r="R28" i="1"/>
  <c r="V28" i="1"/>
  <c r="AC179" i="1"/>
  <c r="AE179" i="1" s="1"/>
  <c r="AG179" i="1"/>
  <c r="AF179" i="1"/>
  <c r="AM197" i="1"/>
  <c r="AJ197" i="1"/>
  <c r="AL197" i="1" s="1"/>
  <c r="AN197" i="1"/>
  <c r="AJ192" i="1"/>
  <c r="AL192" i="1" s="1"/>
  <c r="AN192" i="1"/>
  <c r="AM192" i="1"/>
  <c r="AC176" i="1"/>
  <c r="AE176" i="1" s="1"/>
  <c r="AG176" i="1"/>
  <c r="AF176" i="1"/>
  <c r="AF175" i="1"/>
  <c r="AC175" i="1"/>
  <c r="AE175" i="1" s="1"/>
  <c r="AG175" i="1"/>
  <c r="AM153" i="1"/>
  <c r="AJ153" i="1"/>
  <c r="AL153" i="1" s="1"/>
  <c r="AN153" i="1"/>
  <c r="AF133" i="1"/>
  <c r="AC133" i="1"/>
  <c r="AE133" i="1" s="1"/>
  <c r="AG133" i="1"/>
  <c r="V138" i="1"/>
  <c r="R138" i="1"/>
  <c r="R142" i="1"/>
  <c r="V142" i="1"/>
  <c r="V135" i="1"/>
  <c r="R135" i="1"/>
  <c r="AL120" i="1"/>
  <c r="AD91" i="1"/>
  <c r="AE91" i="1" s="1"/>
  <c r="AF91" i="1"/>
  <c r="AN82" i="1"/>
  <c r="AJ82" i="1"/>
  <c r="AL82" i="1" s="1"/>
  <c r="AM82" i="1"/>
  <c r="AJ96" i="1"/>
  <c r="AL96" i="1" s="1"/>
  <c r="AE64" i="1"/>
  <c r="R29" i="1"/>
  <c r="V29" i="1"/>
  <c r="AN29" i="1"/>
  <c r="R58" i="1"/>
  <c r="V58" i="1"/>
  <c r="R86" i="1"/>
  <c r="V86" i="1"/>
  <c r="R75" i="1"/>
  <c r="V75" i="1"/>
  <c r="AL80" i="1"/>
  <c r="AM67" i="1"/>
  <c r="AN67" i="1"/>
  <c r="AJ67" i="1"/>
  <c r="AL67" i="1" s="1"/>
  <c r="R41" i="1"/>
  <c r="V41" i="1"/>
  <c r="AF25" i="1"/>
  <c r="AC25" i="1"/>
  <c r="AE25" i="1" s="1"/>
  <c r="AG25" i="1"/>
  <c r="V25" i="1"/>
  <c r="R25" i="1"/>
  <c r="AF47" i="1"/>
  <c r="AC47" i="1"/>
  <c r="AE47" i="1" s="1"/>
  <c r="AG47" i="1"/>
  <c r="AJ25" i="1"/>
  <c r="AL25" i="1" s="1"/>
  <c r="V70" i="1"/>
  <c r="R70" i="1"/>
  <c r="V16" i="1"/>
  <c r="R16" i="1"/>
  <c r="AM9" i="1"/>
  <c r="AM211" i="1"/>
  <c r="AJ211" i="1"/>
  <c r="AL211" i="1" s="1"/>
  <c r="AN211" i="1"/>
  <c r="V205" i="1"/>
  <c r="R205" i="1"/>
  <c r="R212" i="1"/>
  <c r="V212" i="1"/>
  <c r="AG177" i="1"/>
  <c r="AC177" i="1"/>
  <c r="AE177" i="1" s="1"/>
  <c r="AF177" i="1"/>
  <c r="V192" i="1"/>
  <c r="R192" i="1"/>
  <c r="AC197" i="1"/>
  <c r="AE197" i="1" s="1"/>
  <c r="AF197" i="1"/>
  <c r="AG197" i="1"/>
  <c r="AE189" i="1"/>
  <c r="AN194" i="1"/>
  <c r="R179" i="1"/>
  <c r="V179" i="1"/>
  <c r="AG166" i="1"/>
  <c r="AC166" i="1"/>
  <c r="AE166" i="1" s="1"/>
  <c r="AF166" i="1"/>
  <c r="AD152" i="1"/>
  <c r="AE152" i="1" s="1"/>
  <c r="AF152" i="1"/>
  <c r="V125" i="1"/>
  <c r="R125" i="1"/>
  <c r="V93" i="1"/>
  <c r="R93" i="1"/>
  <c r="AM85" i="1"/>
  <c r="AJ85" i="1"/>
  <c r="AL85" i="1" s="1"/>
  <c r="AN85" i="1"/>
  <c r="AN112" i="1"/>
  <c r="AF64" i="1"/>
  <c r="AM80" i="1"/>
  <c r="AG67" i="1"/>
  <c r="AC67" i="1"/>
  <c r="AE67" i="1" s="1"/>
  <c r="AF67" i="1"/>
  <c r="V27" i="1"/>
  <c r="R27" i="1"/>
  <c r="AG23" i="1"/>
  <c r="AC23" i="1"/>
  <c r="AE23" i="1" s="1"/>
  <c r="AF23" i="1"/>
  <c r="AJ47" i="1"/>
  <c r="AL47" i="1" s="1"/>
  <c r="AN47" i="1"/>
  <c r="AM47" i="1"/>
  <c r="R55" i="1"/>
  <c r="V55" i="1"/>
  <c r="AM5" i="1"/>
  <c r="AN5" i="1"/>
  <c r="AJ5" i="1"/>
  <c r="AL5" i="1" s="1"/>
  <c r="AJ30" i="1"/>
  <c r="AL30" i="1" s="1"/>
  <c r="AN9" i="1"/>
  <c r="AN21" i="1"/>
  <c r="V24" i="1"/>
  <c r="R24" i="1"/>
  <c r="V181" i="1"/>
  <c r="R181" i="1"/>
  <c r="AN181" i="1"/>
  <c r="AJ181" i="1"/>
  <c r="AL181" i="1" s="1"/>
  <c r="AE211" i="1"/>
  <c r="AM193" i="1"/>
  <c r="AJ193" i="1"/>
  <c r="AL193" i="1" s="1"/>
  <c r="AN193" i="1"/>
  <c r="AF189" i="1"/>
  <c r="V193" i="1"/>
  <c r="R193" i="1"/>
  <c r="AJ194" i="1"/>
  <c r="AL194" i="1" s="1"/>
  <c r="V200" i="1"/>
  <c r="R200" i="1"/>
  <c r="V167" i="1"/>
  <c r="R167" i="1"/>
  <c r="R183" i="1"/>
  <c r="V183" i="1"/>
  <c r="AN183" i="1"/>
  <c r="AM149" i="1"/>
  <c r="V154" i="1"/>
  <c r="R154" i="1"/>
  <c r="AM142" i="1"/>
  <c r="R123" i="1"/>
  <c r="AN123" i="1"/>
  <c r="V123" i="1"/>
  <c r="V131" i="1"/>
  <c r="R131" i="1"/>
  <c r="AM125" i="1"/>
  <c r="AM129" i="1"/>
  <c r="AN129" i="1"/>
  <c r="AJ129" i="1"/>
  <c r="AL129" i="1" s="1"/>
  <c r="AJ117" i="1"/>
  <c r="AL117" i="1" s="1"/>
  <c r="AN117" i="1"/>
  <c r="AM117" i="1"/>
  <c r="AG93" i="1"/>
  <c r="AF93" i="1"/>
  <c r="AC93" i="1"/>
  <c r="AE93" i="1" s="1"/>
  <c r="AC85" i="1"/>
  <c r="AE85" i="1" s="1"/>
  <c r="AG85" i="1"/>
  <c r="AF85" i="1"/>
  <c r="AJ70" i="1"/>
  <c r="AL70" i="1" s="1"/>
  <c r="AL74" i="1"/>
  <c r="AN88" i="1"/>
  <c r="AJ90" i="1"/>
  <c r="AL90" i="1" s="1"/>
  <c r="AN90" i="1"/>
  <c r="AM90" i="1"/>
  <c r="V82" i="1"/>
  <c r="R82" i="1"/>
  <c r="AM94" i="1"/>
  <c r="V62" i="1"/>
  <c r="R62" i="1"/>
  <c r="AJ86" i="1"/>
  <c r="AL86" i="1" s="1"/>
  <c r="AC55" i="1"/>
  <c r="AE55" i="1" s="1"/>
  <c r="AF55" i="1"/>
  <c r="AG55" i="1"/>
  <c r="AN70" i="1"/>
  <c r="AL37" i="1"/>
  <c r="AN31" i="1"/>
  <c r="AJ16" i="1"/>
  <c r="AL16" i="1" s="1"/>
  <c r="AG9" i="1"/>
  <c r="AF9" i="1"/>
  <c r="AC9" i="1"/>
  <c r="AE9" i="1" s="1"/>
  <c r="V35" i="1"/>
  <c r="R35" i="1"/>
  <c r="AM37" i="1"/>
  <c r="AK37" i="1"/>
  <c r="AN8" i="1"/>
  <c r="AM8" i="1"/>
  <c r="AJ8" i="1"/>
  <c r="AL8" i="1" s="1"/>
  <c r="V38" i="1"/>
  <c r="R38" i="1"/>
  <c r="AJ24" i="1"/>
  <c r="AL24" i="1" s="1"/>
  <c r="AJ3" i="1"/>
  <c r="AL3" i="1" s="1"/>
  <c r="AM43" i="1"/>
  <c r="AJ9" i="1"/>
  <c r="AL9" i="1" s="1"/>
  <c r="R49" i="1"/>
  <c r="V49" i="1"/>
  <c r="AN209" i="1"/>
  <c r="AM209" i="1"/>
  <c r="AJ209" i="1"/>
  <c r="AL209" i="1" s="1"/>
  <c r="AC193" i="1"/>
  <c r="AE193" i="1" s="1"/>
  <c r="AF193" i="1"/>
  <c r="AG193" i="1"/>
  <c r="AM188" i="1"/>
  <c r="AJ188" i="1"/>
  <c r="AL188" i="1" s="1"/>
  <c r="AN188" i="1"/>
  <c r="V187" i="1"/>
  <c r="R187" i="1"/>
  <c r="AM194" i="1"/>
  <c r="V173" i="1"/>
  <c r="R173" i="1"/>
  <c r="AF171" i="1"/>
  <c r="AG171" i="1"/>
  <c r="AC171" i="1"/>
  <c r="AE171" i="1" s="1"/>
  <c r="V180" i="1"/>
  <c r="R180" i="1"/>
  <c r="AN135" i="1"/>
  <c r="AM135" i="1"/>
  <c r="AJ135" i="1"/>
  <c r="AL135" i="1" s="1"/>
  <c r="V177" i="1"/>
  <c r="R177" i="1"/>
  <c r="AN138" i="1"/>
  <c r="AM138" i="1"/>
  <c r="AJ138" i="1"/>
  <c r="AL138" i="1" s="1"/>
  <c r="V113" i="1"/>
  <c r="R113" i="1"/>
  <c r="AG129" i="1"/>
  <c r="AC129" i="1"/>
  <c r="AE129" i="1" s="1"/>
  <c r="AF129" i="1"/>
  <c r="AF117" i="1"/>
  <c r="AC117" i="1"/>
  <c r="AE117" i="1" s="1"/>
  <c r="AG117" i="1"/>
  <c r="V119" i="1"/>
  <c r="R119" i="1"/>
  <c r="AJ93" i="1"/>
  <c r="AL93" i="1" s="1"/>
  <c r="AN93" i="1"/>
  <c r="AM93" i="1"/>
  <c r="AL89" i="1"/>
  <c r="AG81" i="1"/>
  <c r="AF81" i="1"/>
  <c r="AC81" i="1"/>
  <c r="AE81" i="1" s="1"/>
  <c r="AC72" i="1"/>
  <c r="AE72" i="1" s="1"/>
  <c r="AG72" i="1"/>
  <c r="AF72" i="1"/>
  <c r="AM57" i="1"/>
  <c r="AN14" i="1"/>
  <c r="AM14" i="1"/>
  <c r="AJ14" i="1"/>
  <c r="AL14" i="1" s="1"/>
  <c r="V53" i="1"/>
  <c r="R53" i="1"/>
  <c r="AG66" i="1"/>
  <c r="AC66" i="1"/>
  <c r="AE66" i="1" s="1"/>
  <c r="AF66" i="1"/>
  <c r="AD37" i="1"/>
  <c r="AE37" i="1" s="1"/>
  <c r="AF37" i="1"/>
  <c r="AN25" i="1"/>
  <c r="V23" i="1"/>
  <c r="R23" i="1"/>
  <c r="AG209" i="1"/>
  <c r="AF209" i="1"/>
  <c r="AC209" i="1"/>
  <c r="AE209" i="1" s="1"/>
  <c r="AC188" i="1"/>
  <c r="AE188" i="1" s="1"/>
  <c r="AF188" i="1"/>
  <c r="AG188" i="1"/>
  <c r="AJ199" i="1"/>
  <c r="AL199" i="1" s="1"/>
  <c r="AN199" i="1"/>
  <c r="AM199" i="1"/>
  <c r="AL174" i="1"/>
  <c r="AM171" i="1"/>
  <c r="AJ171" i="1"/>
  <c r="AL171" i="1" s="1"/>
  <c r="AN171" i="1"/>
  <c r="V196" i="1"/>
  <c r="R196" i="1"/>
  <c r="V158" i="1"/>
  <c r="R158" i="1"/>
  <c r="AF169" i="1"/>
  <c r="AC169" i="1"/>
  <c r="AE169" i="1" s="1"/>
  <c r="AG169" i="1"/>
  <c r="R148" i="1"/>
  <c r="V148" i="1"/>
  <c r="AG138" i="1"/>
  <c r="AC138" i="1"/>
  <c r="AE138" i="1" s="1"/>
  <c r="AF138" i="1"/>
  <c r="AF140" i="1"/>
  <c r="AD140" i="1"/>
  <c r="AE140" i="1" s="1"/>
  <c r="R112" i="1"/>
  <c r="V112" i="1"/>
  <c r="AK108" i="1"/>
  <c r="AL108" i="1" s="1"/>
  <c r="AM108" i="1"/>
  <c r="AF113" i="1"/>
  <c r="AC113" i="1"/>
  <c r="AE113" i="1" s="1"/>
  <c r="AG113" i="1"/>
  <c r="AG100" i="1"/>
  <c r="AF100" i="1"/>
  <c r="AC100" i="1"/>
  <c r="AE100" i="1" s="1"/>
  <c r="R107" i="1"/>
  <c r="V107" i="1"/>
  <c r="R87" i="1"/>
  <c r="AM87" i="1"/>
  <c r="V87" i="1"/>
  <c r="AC88" i="1"/>
  <c r="AE88" i="1" s="1"/>
  <c r="AG88" i="1"/>
  <c r="AF88" i="1"/>
  <c r="V89" i="1"/>
  <c r="R89" i="1"/>
  <c r="AM89" i="1"/>
  <c r="AJ87" i="1"/>
  <c r="AL87" i="1" s="1"/>
  <c r="AM81" i="1"/>
  <c r="AJ81" i="1"/>
  <c r="AL81" i="1" s="1"/>
  <c r="AN81" i="1"/>
  <c r="V59" i="1"/>
  <c r="R59" i="1"/>
  <c r="V78" i="1"/>
  <c r="R78" i="1"/>
  <c r="AM71" i="1"/>
  <c r="AC32" i="1"/>
  <c r="AE32" i="1" s="1"/>
  <c r="AF32" i="1"/>
  <c r="AG32" i="1"/>
  <c r="AN53" i="1"/>
  <c r="AN66" i="1"/>
  <c r="AJ66" i="1"/>
  <c r="AL66" i="1" s="1"/>
  <c r="AM66" i="1"/>
  <c r="AF28" i="1"/>
  <c r="AC28" i="1"/>
  <c r="AE28" i="1" s="1"/>
  <c r="AG28" i="1"/>
  <c r="V73" i="1"/>
  <c r="R73" i="1"/>
  <c r="V12" i="1"/>
  <c r="R12" i="1"/>
  <c r="AM23" i="1"/>
  <c r="AN6" i="1"/>
  <c r="AL177" i="1"/>
  <c r="AE151" i="1"/>
  <c r="AN179" i="1"/>
  <c r="AM177" i="1"/>
  <c r="AK177" i="1"/>
  <c r="AN156" i="1"/>
  <c r="AM156" i="1"/>
  <c r="AJ156" i="1"/>
  <c r="AL156" i="1" s="1"/>
  <c r="AM169" i="1"/>
  <c r="AN169" i="1"/>
  <c r="AJ169" i="1"/>
  <c r="AL169" i="1" s="1"/>
  <c r="R182" i="1"/>
  <c r="V182" i="1"/>
  <c r="AJ151" i="1"/>
  <c r="AL151" i="1" s="1"/>
  <c r="AF162" i="1"/>
  <c r="V168" i="1"/>
  <c r="R168" i="1"/>
  <c r="AF119" i="1"/>
  <c r="AC119" i="1"/>
  <c r="AE119" i="1" s="1"/>
  <c r="AG119" i="1"/>
  <c r="AN168" i="1"/>
  <c r="AM113" i="1"/>
  <c r="AJ113" i="1"/>
  <c r="AL113" i="1" s="1"/>
  <c r="AN113" i="1"/>
  <c r="X84" i="1"/>
  <c r="T84" i="1"/>
  <c r="AG87" i="1"/>
  <c r="AC87" i="1"/>
  <c r="AE87" i="1" s="1"/>
  <c r="AF87" i="1"/>
  <c r="V77" i="1"/>
  <c r="R77" i="1"/>
  <c r="AN77" i="1"/>
  <c r="AG38" i="1"/>
  <c r="AF38" i="1"/>
  <c r="AC38" i="1"/>
  <c r="AE38" i="1" s="1"/>
  <c r="V64" i="1"/>
  <c r="R64" i="1"/>
  <c r="V30" i="1"/>
  <c r="R30" i="1"/>
  <c r="V43" i="1"/>
  <c r="R43" i="1"/>
  <c r="AN32" i="1"/>
  <c r="AM32" i="1"/>
  <c r="AJ32" i="1"/>
  <c r="AL32" i="1" s="1"/>
  <c r="AN61" i="1"/>
  <c r="AJ61" i="1"/>
  <c r="AL61" i="1" s="1"/>
  <c r="AM61" i="1"/>
  <c r="V51" i="1"/>
  <c r="R51" i="1"/>
  <c r="AN22" i="1"/>
  <c r="AM22" i="1"/>
  <c r="AJ22" i="1"/>
  <c r="AL22" i="1" s="1"/>
  <c r="AN3" i="1"/>
  <c r="AM205" i="1"/>
  <c r="AG110" i="1"/>
  <c r="AF110" i="1"/>
  <c r="AC110" i="1"/>
  <c r="AE110" i="1" s="1"/>
  <c r="AF210" i="1"/>
  <c r="AG210" i="1"/>
  <c r="AC210" i="1"/>
  <c r="AE210" i="1" s="1"/>
  <c r="AJ204" i="1"/>
  <c r="AL204" i="1" s="1"/>
  <c r="AN196" i="1"/>
  <c r="AF208" i="1"/>
  <c r="AG208" i="1"/>
  <c r="AC208" i="1"/>
  <c r="AE208" i="1" s="1"/>
  <c r="AF207" i="1"/>
  <c r="AG207" i="1"/>
  <c r="AC207" i="1"/>
  <c r="AE207" i="1" s="1"/>
  <c r="R206" i="1"/>
  <c r="V206" i="1"/>
  <c r="AM190" i="1"/>
  <c r="AN190" i="1"/>
  <c r="AJ190" i="1"/>
  <c r="AL190" i="1" s="1"/>
  <c r="V202" i="1"/>
  <c r="R202" i="1"/>
  <c r="AN205" i="1"/>
  <c r="V171" i="1"/>
  <c r="R171" i="1"/>
  <c r="AM202" i="1"/>
  <c r="AF184" i="1"/>
  <c r="AC184" i="1"/>
  <c r="AE184" i="1" s="1"/>
  <c r="AG184" i="1"/>
  <c r="AM157" i="1"/>
  <c r="AF145" i="1"/>
  <c r="AD149" i="1"/>
  <c r="AE149" i="1" s="1"/>
  <c r="AF149" i="1"/>
  <c r="V163" i="1"/>
  <c r="AN163" i="1"/>
  <c r="R163" i="1"/>
  <c r="R165" i="1"/>
  <c r="V165" i="1"/>
  <c r="V164" i="1"/>
  <c r="R164" i="1"/>
  <c r="AE183" i="1"/>
  <c r="AL166" i="1"/>
  <c r="AE162" i="1"/>
  <c r="AE134" i="1"/>
  <c r="AK106" i="1"/>
  <c r="AL106" i="1" s="1"/>
  <c r="AM106" i="1"/>
  <c r="R132" i="1"/>
  <c r="V132" i="1"/>
  <c r="AJ164" i="1"/>
  <c r="AL164" i="1" s="1"/>
  <c r="R129" i="1"/>
  <c r="V129" i="1"/>
  <c r="AN154" i="1"/>
  <c r="AJ154" i="1"/>
  <c r="AL154" i="1" s="1"/>
  <c r="AM154" i="1"/>
  <c r="AE118" i="1"/>
  <c r="AJ168" i="1"/>
  <c r="AL168" i="1" s="1"/>
  <c r="R97" i="1"/>
  <c r="V97" i="1"/>
  <c r="AN95" i="1"/>
  <c r="AJ95" i="1"/>
  <c r="AL95" i="1" s="1"/>
  <c r="AM95" i="1"/>
  <c r="AF97" i="1"/>
  <c r="AG97" i="1"/>
  <c r="AC97" i="1"/>
  <c r="AE97" i="1" s="1"/>
  <c r="AG79" i="1"/>
  <c r="AF79" i="1"/>
  <c r="AC79" i="1"/>
  <c r="AE79" i="1" s="1"/>
  <c r="AF111" i="1"/>
  <c r="AC111" i="1"/>
  <c r="AE111" i="1" s="1"/>
  <c r="AG111" i="1"/>
  <c r="V106" i="1"/>
  <c r="R106" i="1"/>
  <c r="V81" i="1"/>
  <c r="R81" i="1"/>
  <c r="AM100" i="1"/>
  <c r="AN98" i="1"/>
  <c r="AM98" i="1"/>
  <c r="AJ98" i="1"/>
  <c r="AL98" i="1" s="1"/>
  <c r="AN125" i="1"/>
  <c r="AN59" i="1"/>
  <c r="AN69" i="1"/>
  <c r="R56" i="1"/>
  <c r="V56" i="1"/>
  <c r="AJ71" i="1"/>
  <c r="AL71" i="1" s="1"/>
  <c r="AJ48" i="1"/>
  <c r="AL48" i="1" s="1"/>
  <c r="AN48" i="1"/>
  <c r="AM48" i="1"/>
  <c r="AE27" i="1"/>
  <c r="AD34" i="1"/>
  <c r="AE34" i="1" s="1"/>
  <c r="AF34" i="1"/>
  <c r="AM41" i="1"/>
  <c r="AJ41" i="1"/>
  <c r="AL41" i="1" s="1"/>
  <c r="AN41" i="1"/>
  <c r="AM7" i="1"/>
  <c r="AM56" i="1"/>
  <c r="AN46" i="1"/>
  <c r="AK44" i="1"/>
  <c r="AL44" i="1" s="1"/>
  <c r="AM44" i="1"/>
  <c r="R36" i="1"/>
  <c r="V36" i="1"/>
  <c r="AN36" i="1"/>
  <c r="AM31" i="1"/>
  <c r="V19" i="1"/>
  <c r="R19" i="1"/>
  <c r="AM45" i="1"/>
  <c r="AM24" i="1"/>
</calcChain>
</file>

<file path=xl/sharedStrings.xml><?xml version="1.0" encoding="utf-8"?>
<sst xmlns="http://schemas.openxmlformats.org/spreadsheetml/2006/main" count="1309" uniqueCount="491">
  <si>
    <t>HC</t>
  </si>
  <si>
    <t>NOMBRE</t>
  </si>
  <si>
    <t>CANAL</t>
  </si>
  <si>
    <t>DEMPARTAMENTO</t>
  </si>
  <si>
    <t>CLUSTER</t>
  </si>
  <si>
    <t>SOCIO</t>
  </si>
  <si>
    <t>NOV</t>
  </si>
  <si>
    <t>DIC</t>
  </si>
  <si>
    <t>PP MAX</t>
  </si>
  <si>
    <t>META ENE PP</t>
  </si>
  <si>
    <t>META FEB PP</t>
  </si>
  <si>
    <t>SS MAX</t>
  </si>
  <si>
    <t>META ENE SS</t>
  </si>
  <si>
    <t>META FEB SS</t>
  </si>
  <si>
    <t>PP META ENE VS DIC</t>
  </si>
  <si>
    <t>PP META FEB VS DIC</t>
  </si>
  <si>
    <t>SS META ENE VS DIC</t>
  </si>
  <si>
    <t>SS META FEB VS DIC</t>
  </si>
  <si>
    <t>%PP META ENE VS DIC</t>
  </si>
  <si>
    <t>%PP META FEB VS DIC</t>
  </si>
  <si>
    <t>%SS META ENE VS DIC</t>
  </si>
  <si>
    <t>%SS META FEB VS DIC</t>
  </si>
  <si>
    <t>AVANCE ENE PP</t>
  </si>
  <si>
    <t>AVANCE ENE SS</t>
  </si>
  <si>
    <t>PROY ENE PP</t>
  </si>
  <si>
    <t>PROY ENE SS</t>
  </si>
  <si>
    <t>Cumplio Primer Mes PP</t>
  </si>
  <si>
    <t>Cumplio Primer Mes SS</t>
  </si>
  <si>
    <t>Ganadores Ene</t>
  </si>
  <si>
    <t>Avance Eqv</t>
  </si>
  <si>
    <t>Avance PP</t>
  </si>
  <si>
    <t>PROY TOTAL PP</t>
  </si>
  <si>
    <t>PROY TOTAL SS</t>
  </si>
  <si>
    <t>Cumple PP</t>
  </si>
  <si>
    <t>Cumple SS</t>
  </si>
  <si>
    <t>Ganadores Total</t>
  </si>
  <si>
    <t>Avance Eqv Total</t>
  </si>
  <si>
    <t>Avance PP Total</t>
  </si>
  <si>
    <t>Ranking</t>
  </si>
  <si>
    <t>Cupos</t>
  </si>
  <si>
    <t>Ganadores</t>
  </si>
  <si>
    <t>77504077</t>
  </si>
  <si>
    <t>GRETEL BRILLIT MELO LOAYZA</t>
  </si>
  <si>
    <t>PDV E2</t>
  </si>
  <si>
    <t>LIMA</t>
  </si>
  <si>
    <t>A</t>
  </si>
  <si>
    <t>GRUPO CAYAO S.A.C.</t>
  </si>
  <si>
    <t>42204528</t>
  </si>
  <si>
    <t>JOEL MIGUEL KIKUNA GONZALES</t>
  </si>
  <si>
    <t>UCAYALI</t>
  </si>
  <si>
    <t>C1</t>
  </si>
  <si>
    <t>DISTRIB. Y COMERCIALIZADORA FANERO S.A.C</t>
  </si>
  <si>
    <t>77270717</t>
  </si>
  <si>
    <t>YUBER CARRION TELLO</t>
  </si>
  <si>
    <t>44817814</t>
  </si>
  <si>
    <t>JESUS ALBERTO FIGUEROA RELAYZA</t>
  </si>
  <si>
    <t>LAMBAYEQUE</t>
  </si>
  <si>
    <t>B1</t>
  </si>
  <si>
    <t>JOKATEL SERVICES S.A.C.</t>
  </si>
  <si>
    <t>76291223</t>
  </si>
  <si>
    <t>ORESTES DAVALOS SALAZAR</t>
  </si>
  <si>
    <t>47397432</t>
  </si>
  <si>
    <t>MARISOL TICONA ARONI</t>
  </si>
  <si>
    <t>CRCV TELECOMUNICACIONES S.A.C.</t>
  </si>
  <si>
    <t>47865228</t>
  </si>
  <si>
    <t>ANTHONY CUSSE QUISPE</t>
  </si>
  <si>
    <t>28111681</t>
  </si>
  <si>
    <t>JUSTINIANO CAYAO CHINGO</t>
  </si>
  <si>
    <t>CAJAMARCA</t>
  </si>
  <si>
    <t>B2</t>
  </si>
  <si>
    <t>41860964</t>
  </si>
  <si>
    <t>GIOVANNA ANDAGUA BENITES</t>
  </si>
  <si>
    <t>22271765</t>
  </si>
  <si>
    <t>WALTER ARTURO HERNANDEZ MORALES</t>
  </si>
  <si>
    <t>ICA</t>
  </si>
  <si>
    <t>DISCOMTEC E.I.R.L</t>
  </si>
  <si>
    <t>02818533</t>
  </si>
  <si>
    <t>FREDDY FOSSA CASTRO</t>
  </si>
  <si>
    <t>SAN MARTIN</t>
  </si>
  <si>
    <t>43954553</t>
  </si>
  <si>
    <t>JULIA EMILIA PALACIOS TIMANA</t>
  </si>
  <si>
    <t>70297978</t>
  </si>
  <si>
    <t>MANUEL RICARDO CHAVEZ VASQUEZ</t>
  </si>
  <si>
    <t>01117413</t>
  </si>
  <si>
    <t>CARLOS SALDAÑA DEL AGUILA</t>
  </si>
  <si>
    <t>43909283</t>
  </si>
  <si>
    <t>SARA YARLEQUE VIVAS</t>
  </si>
  <si>
    <t>PIURA</t>
  </si>
  <si>
    <t>44383981</t>
  </si>
  <si>
    <t>CARLOS RAFAEL CUSIHUALLPA CALIXTO</t>
  </si>
  <si>
    <t>AREQUIPA</t>
  </si>
  <si>
    <t>03891933</t>
  </si>
  <si>
    <t>NELLY SOLEDAD ROSADO AMPUERO</t>
  </si>
  <si>
    <t>42688309</t>
  </si>
  <si>
    <t>ANTHONY RAUL ARIAS ORTIZ</t>
  </si>
  <si>
    <t>09663956</t>
  </si>
  <si>
    <t>PEPE MONTES VASQUEZ</t>
  </si>
  <si>
    <t>19337867</t>
  </si>
  <si>
    <t>ANA CECILIA BAZAN TORRES</t>
  </si>
  <si>
    <t>LA LIBERTAD</t>
  </si>
  <si>
    <t>43779743</t>
  </si>
  <si>
    <t>DARWIN ELWIN DE LA CRUZ DAMIAN</t>
  </si>
  <si>
    <t>44894330</t>
  </si>
  <si>
    <t>PAUL CESAR CHUNGA TEMOCHE</t>
  </si>
  <si>
    <t>45066862</t>
  </si>
  <si>
    <t>ROSA MARLENI SANTANA QUINO</t>
  </si>
  <si>
    <t>46468472</t>
  </si>
  <si>
    <t>ASTRID CAROLINA CONDE ORBEGOSO</t>
  </si>
  <si>
    <t>76355051</t>
  </si>
  <si>
    <t>ALCIDES GERONIMO SUSANO</t>
  </si>
  <si>
    <t>HUANUCO</t>
  </si>
  <si>
    <t>45434325</t>
  </si>
  <si>
    <t>DINA RIVERA PACARA</t>
  </si>
  <si>
    <t>PUNO</t>
  </si>
  <si>
    <t>D &amp; D TELECOMUNICACIONES S.A.C</t>
  </si>
  <si>
    <t>10634898</t>
  </si>
  <si>
    <t>RIDER AURELIANO JULIAN ESPINOLA</t>
  </si>
  <si>
    <t>73522095</t>
  </si>
  <si>
    <t>JHON ALEXANDER QUISPE CAÑARI</t>
  </si>
  <si>
    <t>CUSCO</t>
  </si>
  <si>
    <t>47903255</t>
  </si>
  <si>
    <t>EULOGIA CENTENO QUISPE</t>
  </si>
  <si>
    <t>29298274</t>
  </si>
  <si>
    <t>VICTOR MANUEL ANDRADE MARTINEZ</t>
  </si>
  <si>
    <t>41325933</t>
  </si>
  <si>
    <t>GLADYS GLADYS YUDITH GUZMAN</t>
  </si>
  <si>
    <t>45855191</t>
  </si>
  <si>
    <t>YESSICA RUTH QUEA MAMANI</t>
  </si>
  <si>
    <t>32962449</t>
  </si>
  <si>
    <t>ERIKA ELIZABETH CHINCHAY LINAN</t>
  </si>
  <si>
    <t>ANCASH</t>
  </si>
  <si>
    <t>43002979</t>
  </si>
  <si>
    <t>CELESTE RITA RAMIREZ CASTILLO</t>
  </si>
  <si>
    <t>03234751</t>
  </si>
  <si>
    <t>JUAN AGUSTO MARTINEZ PEÑA</t>
  </si>
  <si>
    <t>43604548</t>
  </si>
  <si>
    <t>GEYNER RUBIO MAYTA</t>
  </si>
  <si>
    <t>21421368</t>
  </si>
  <si>
    <t>CIRILA EUGENIA MENDOZA DE MENDOZA</t>
  </si>
  <si>
    <t>71215949</t>
  </si>
  <si>
    <t>ANTHONELA BEATRIZ GARCIA NICACIO</t>
  </si>
  <si>
    <t>15853177</t>
  </si>
  <si>
    <t>RUTH ESTHER DULCE SAMOSA</t>
  </si>
  <si>
    <t>47814964</t>
  </si>
  <si>
    <t>KELVIL PRELBIN MAYTA CRUZADO</t>
  </si>
  <si>
    <t>41841548</t>
  </si>
  <si>
    <t>HENRY HUBERT LINO PESANTES</t>
  </si>
  <si>
    <t>16714075</t>
  </si>
  <si>
    <t>MIRTHA CASTILLO MORA</t>
  </si>
  <si>
    <t>41701923</t>
  </si>
  <si>
    <t>FABIOLA LEYVA TOLEDO</t>
  </si>
  <si>
    <t>15859784</t>
  </si>
  <si>
    <t>MARÍA ZORAIDA ESPERICUETA GONZALES</t>
  </si>
  <si>
    <t>43859321</t>
  </si>
  <si>
    <t>JHON LUIS FALCON</t>
  </si>
  <si>
    <t>41252451</t>
  </si>
  <si>
    <t>JUAN QUISPE MOYA</t>
  </si>
  <si>
    <t>20555944</t>
  </si>
  <si>
    <t>MARCELINO CHANQUETTY PERES</t>
  </si>
  <si>
    <t>JUNIN</t>
  </si>
  <si>
    <t>40697657</t>
  </si>
  <si>
    <t>LUIS ALBERTO SILVA CHAVEZ</t>
  </si>
  <si>
    <t>41683934</t>
  </si>
  <si>
    <t>RUBÉN ALARCON DE LA CRUZ</t>
  </si>
  <si>
    <t>10180033</t>
  </si>
  <si>
    <t>GLADYS MELVA HUANAY QUISPELAYA</t>
  </si>
  <si>
    <t>41402562</t>
  </si>
  <si>
    <t>TATIANA VIOLETA COARITA YAPUCHURA</t>
  </si>
  <si>
    <t>20017871</t>
  </si>
  <si>
    <t>ZONIA BARRIENTOS CALDERON</t>
  </si>
  <si>
    <t>71743574</t>
  </si>
  <si>
    <t>ANGELI JOHANA HUAMANI TIPISMANA</t>
  </si>
  <si>
    <t>09232347</t>
  </si>
  <si>
    <t>HIVAR MEJIA AMAU</t>
  </si>
  <si>
    <t>77050896</t>
  </si>
  <si>
    <t>KEVIN JONATHAN POEMATE FLORES</t>
  </si>
  <si>
    <t>44170904</t>
  </si>
  <si>
    <t>MARCIA LUZ VILLALOBOS ESPINOZA</t>
  </si>
  <si>
    <t>09042722</t>
  </si>
  <si>
    <t>SEGUNDO ANDRES VERGARA ALFARO</t>
  </si>
  <si>
    <t>43348362</t>
  </si>
  <si>
    <t>SARA DEL PILAR VASQUEZ SANCHEZ</t>
  </si>
  <si>
    <t>LORETO</t>
  </si>
  <si>
    <t>C2</t>
  </si>
  <si>
    <t>45826137</t>
  </si>
  <si>
    <t>ROBIN SMITH VELASQUEZ ARENAS</t>
  </si>
  <si>
    <t>90062639</t>
  </si>
  <si>
    <t>ADRIANA TERESA PARRERA MACHACA</t>
  </si>
  <si>
    <t>08527751</t>
  </si>
  <si>
    <t>YVAN CARMEN ATACHAGUA</t>
  </si>
  <si>
    <t>22521224</t>
  </si>
  <si>
    <t>EDWIN ESTEBAN CASTAÑEDA</t>
  </si>
  <si>
    <t>42125400</t>
  </si>
  <si>
    <t>JESSICA MONICA ZAPATA VASQUEZ</t>
  </si>
  <si>
    <t>20045283</t>
  </si>
  <si>
    <t>GIMÉNEZ AMABLE FLORES</t>
  </si>
  <si>
    <t>006265628</t>
  </si>
  <si>
    <t>YORMAN JESUS GUERRA FRONTEN</t>
  </si>
  <si>
    <t>80604344</t>
  </si>
  <si>
    <t>YURI ALEXIS ITO INOCENTE</t>
  </si>
  <si>
    <t>25756870</t>
  </si>
  <si>
    <t>AMELIA MILAGROS MUÑOZ MAMANI</t>
  </si>
  <si>
    <t>46093056</t>
  </si>
  <si>
    <t>SILVIA DIANA PINTO CHOQUE</t>
  </si>
  <si>
    <t>42705124</t>
  </si>
  <si>
    <t>JESSICA KARINA MEZA MINAYA</t>
  </si>
  <si>
    <t>01558664</t>
  </si>
  <si>
    <t>NORMA SUBIA CONDORI</t>
  </si>
  <si>
    <t>60549317</t>
  </si>
  <si>
    <t>MIGUEL ANGEL AGUIRRE PINEDO</t>
  </si>
  <si>
    <t>01685120</t>
  </si>
  <si>
    <t>ANTERO GENUARIO PIMENTEL ESQUIBIAS</t>
  </si>
  <si>
    <t>79545127</t>
  </si>
  <si>
    <t>RAQUEL YANINA PINARES SANCHEZ</t>
  </si>
  <si>
    <t>47870190</t>
  </si>
  <si>
    <t>EDILBERTO FERNANDEZ FERNANDEZ</t>
  </si>
  <si>
    <t>77863891</t>
  </si>
  <si>
    <t>MARIA DE LOS ANGELES GARCIA CASTILLO</t>
  </si>
  <si>
    <t>76249875</t>
  </si>
  <si>
    <t>NILSON ARNOL LLATAS LEON</t>
  </si>
  <si>
    <t>23085818</t>
  </si>
  <si>
    <t>EDEN ERIBERTO FELIX GONZÁLEZ</t>
  </si>
  <si>
    <t>71031249</t>
  </si>
  <si>
    <t>DINA ELIZA JIMENEZ CARRANZA</t>
  </si>
  <si>
    <t>46410652</t>
  </si>
  <si>
    <t>FREDY HUMPIRI MAMANI</t>
  </si>
  <si>
    <t>45986306</t>
  </si>
  <si>
    <t>WASHINTON QQUENAYA QQUENAYA</t>
  </si>
  <si>
    <t>10044076</t>
  </si>
  <si>
    <t>CARLOS ENRIQUE MEDRANO CUEVAS</t>
  </si>
  <si>
    <t>20030820</t>
  </si>
  <si>
    <t>JUANITA HINOSTROZA GARCIA</t>
  </si>
  <si>
    <t>41828021</t>
  </si>
  <si>
    <t>MIGUEL ANTONIO RIVAS DIAZ</t>
  </si>
  <si>
    <t>77387964</t>
  </si>
  <si>
    <t>HENRY FRANKLIN LLACSA BARRAGAN</t>
  </si>
  <si>
    <t>18142910</t>
  </si>
  <si>
    <t>JUAN CARLOS CORONADO SANDOVAL</t>
  </si>
  <si>
    <t>19232504</t>
  </si>
  <si>
    <t>IVONNE TASSON CUEVA</t>
  </si>
  <si>
    <t>19211621</t>
  </si>
  <si>
    <t>EDWIND MILTON VASQUEZ MENDOZA</t>
  </si>
  <si>
    <t>10069610</t>
  </si>
  <si>
    <t>BRENDA MILAGRITOS SANTANA SAENZ</t>
  </si>
  <si>
    <t>43513742</t>
  </si>
  <si>
    <t>ALEX RAFAEL ACUÑA RONCAL</t>
  </si>
  <si>
    <t>76327880</t>
  </si>
  <si>
    <t>DANIEL VILLAVICENCIO SAAVEDRA</t>
  </si>
  <si>
    <t>72936168</t>
  </si>
  <si>
    <t>ROSARIO ESTEFANY LAZARO ALVARADO</t>
  </si>
  <si>
    <t>10528909</t>
  </si>
  <si>
    <t>MARIA EDUVINA CAYAO CHINGO</t>
  </si>
  <si>
    <t>45754038</t>
  </si>
  <si>
    <t>ROSITA DEL PILAR VARGAS IBÉRICO</t>
  </si>
  <si>
    <t>41758501</t>
  </si>
  <si>
    <t>MAGALY CALLE MAMANI</t>
  </si>
  <si>
    <t>16011256</t>
  </si>
  <si>
    <t>CARLOS MIÑOPE BELLO</t>
  </si>
  <si>
    <t>43029798</t>
  </si>
  <si>
    <t>MARIA MAGDALENA SANCHEZ BARBARAN</t>
  </si>
  <si>
    <t>77476466</t>
  </si>
  <si>
    <t>ANDRÉS SEVERO MUÑOZ VENTOSILLA</t>
  </si>
  <si>
    <t>45345662</t>
  </si>
  <si>
    <t>MARIO HUALLPA KURO</t>
  </si>
  <si>
    <t>43700847</t>
  </si>
  <si>
    <t>ROBINSON EDWARD CARBAJAL DEL CARBAJAL</t>
  </si>
  <si>
    <t>05376742</t>
  </si>
  <si>
    <t>MARLO ALVARADO TUESTA</t>
  </si>
  <si>
    <t>21497847</t>
  </si>
  <si>
    <t>ALCIRA BERTHA HERNANDEZ GARCIA</t>
  </si>
  <si>
    <t>77129155</t>
  </si>
  <si>
    <t>KEVIN EDUARDO COBEÑAS HERRERA</t>
  </si>
  <si>
    <t>45265104</t>
  </si>
  <si>
    <t>ALEX JOEL SOTOMAYOR CAMAYO</t>
  </si>
  <si>
    <t>46188561</t>
  </si>
  <si>
    <t>REYNA TACCA HUALLIPE</t>
  </si>
  <si>
    <t>44816066</t>
  </si>
  <si>
    <t>REYNER VILCHEZ ARIEL</t>
  </si>
  <si>
    <t>10381107</t>
  </si>
  <si>
    <t>ANA MARIA BAÑOS OROPEZA</t>
  </si>
  <si>
    <t>45015396</t>
  </si>
  <si>
    <t>CINTHYA CHALAN ROJAS</t>
  </si>
  <si>
    <t>70525103</t>
  </si>
  <si>
    <t>DELIA ERIKA DE LA CRUZ PONCE</t>
  </si>
  <si>
    <t>40716033</t>
  </si>
  <si>
    <t>DEUDE FROYLAN QUISPE PARI</t>
  </si>
  <si>
    <t>09352826</t>
  </si>
  <si>
    <t>HAYDEE SOTO PUNIL</t>
  </si>
  <si>
    <t>25434757</t>
  </si>
  <si>
    <t>MARTHA ESTHER GARCIA SALAZAR</t>
  </si>
  <si>
    <t>76318521</t>
  </si>
  <si>
    <t>ANAYS JOSELYN VILLANUEVA VILLAREAL</t>
  </si>
  <si>
    <t>47216444</t>
  </si>
  <si>
    <t>NANDY MARILYN SANDOVAL TORRES</t>
  </si>
  <si>
    <t>18216655</t>
  </si>
  <si>
    <t>ROSA SEGUMA RIVERA</t>
  </si>
  <si>
    <t>10752503</t>
  </si>
  <si>
    <t>WILLIAM DE LA CRUZ NEYRA</t>
  </si>
  <si>
    <t>08619599</t>
  </si>
  <si>
    <t>JUAN MANUEL DE LA ROSA QUEZADA</t>
  </si>
  <si>
    <t>45313046</t>
  </si>
  <si>
    <t>MERLE JULISSA ARZAPALO CONDOR</t>
  </si>
  <si>
    <t>42959672</t>
  </si>
  <si>
    <t>JOSEFINA VASQUEZ SANCHEZ</t>
  </si>
  <si>
    <t>42431216</t>
  </si>
  <si>
    <t>JOSE ALEXIS ARTEAGA DIAZ</t>
  </si>
  <si>
    <t>40751488</t>
  </si>
  <si>
    <t>LUZ JANETTE SANCHEZ CARDENAS</t>
  </si>
  <si>
    <t>09757921</t>
  </si>
  <si>
    <t>EDWIN JAVIER OLIVEROS APESTEGUI</t>
  </si>
  <si>
    <t>46195795</t>
  </si>
  <si>
    <t>ALFREDO CALIZAYA TARQUI</t>
  </si>
  <si>
    <t>75718092</t>
  </si>
  <si>
    <t>JHERLY BRAVO ESTELA</t>
  </si>
  <si>
    <t>41220451</t>
  </si>
  <si>
    <t>MARIA HUAMAN FLORES</t>
  </si>
  <si>
    <t>43655864</t>
  </si>
  <si>
    <t>GERHARD ROMEO RONDAN TRUJILLO</t>
  </si>
  <si>
    <t>43997154</t>
  </si>
  <si>
    <t>ALIPIO ARMAS ORIHUELA</t>
  </si>
  <si>
    <t>41190222</t>
  </si>
  <si>
    <t>ROBERT MILLER VASQUEZ CHAVEZ</t>
  </si>
  <si>
    <t>41264309</t>
  </si>
  <si>
    <t>PATRICIA MATAMOROS MENDOZA</t>
  </si>
  <si>
    <t>16153036</t>
  </si>
  <si>
    <t>FRANCISCO RICARDO MEZA GRANADOS</t>
  </si>
  <si>
    <t>15725416</t>
  </si>
  <si>
    <t>DORCAS LILIANA ROJAS CRUZ</t>
  </si>
  <si>
    <t>15448210</t>
  </si>
  <si>
    <t>WALTER ROLANDO ROSALES BELTRAN</t>
  </si>
  <si>
    <t>48538888</t>
  </si>
  <si>
    <t>ELENA MAZA ESPINOZA</t>
  </si>
  <si>
    <t>47224518</t>
  </si>
  <si>
    <t>SERGIO CCAMA RAMOS</t>
  </si>
  <si>
    <t>44781265</t>
  </si>
  <si>
    <t>DAYSI YANE AÑACATA CALSINA</t>
  </si>
  <si>
    <t>00513088</t>
  </si>
  <si>
    <t>ROSAURA CRUZADO MARTOS</t>
  </si>
  <si>
    <t>45152088</t>
  </si>
  <si>
    <t>EDWIN VENTURA BELLIDO</t>
  </si>
  <si>
    <t>76753279</t>
  </si>
  <si>
    <t>NEYDY ELIZABET LOZANO SALDAÑA</t>
  </si>
  <si>
    <t>47951660</t>
  </si>
  <si>
    <t>ELMER FERNÁNDEZ RAMOS</t>
  </si>
  <si>
    <t>29586787</t>
  </si>
  <si>
    <t>CRISOSTOMO CHAVEZ QUISPE</t>
  </si>
  <si>
    <t>007372042</t>
  </si>
  <si>
    <t>JAVIER DEL JESUS VILLARROEL RODRIGUEZ</t>
  </si>
  <si>
    <t>19805543</t>
  </si>
  <si>
    <t>JUAN MANUEL MEZA ROCA</t>
  </si>
  <si>
    <t>42594795</t>
  </si>
  <si>
    <t>JOSE ROBERTO RAMOS SORIANO</t>
  </si>
  <si>
    <t>15745895</t>
  </si>
  <si>
    <t>ANA MELBA MIÑOPE BELLO</t>
  </si>
  <si>
    <t>42511189</t>
  </si>
  <si>
    <t>HERNAN ALI BURGOS POMA</t>
  </si>
  <si>
    <t>40464456</t>
  </si>
  <si>
    <t>BETTY ELENA VAZQUEZ VIDAL</t>
  </si>
  <si>
    <t>29646840</t>
  </si>
  <si>
    <t>NATALIA COLQUE MANCILLA</t>
  </si>
  <si>
    <t>18906465</t>
  </si>
  <si>
    <t>RICARDO TEOFILO LINO PENSANTES</t>
  </si>
  <si>
    <t>44106775</t>
  </si>
  <si>
    <t>EVERET RONY ZAPANA ANDRADE</t>
  </si>
  <si>
    <t>21520760</t>
  </si>
  <si>
    <t>EVA REYNA CONISLLA GARAVITO</t>
  </si>
  <si>
    <t>20671092</t>
  </si>
  <si>
    <t>MIRELA FLOR LINO CASTILLO</t>
  </si>
  <si>
    <t>40549772</t>
  </si>
  <si>
    <t>JUAN CARLOS MONTALVAN GOMEZ</t>
  </si>
  <si>
    <t>41667737</t>
  </si>
  <si>
    <t>POCCOMO WILIAM NEMECIO HUANAY</t>
  </si>
  <si>
    <t>27422666</t>
  </si>
  <si>
    <t>MARIA FRAXILA RODRIGUEZ ALBA</t>
  </si>
  <si>
    <t>48180501</t>
  </si>
  <si>
    <t>ESCARLA KATERIN CHIRA AQUINO</t>
  </si>
  <si>
    <t>42695689</t>
  </si>
  <si>
    <t>YOLANDA MERCEDES MUNOZ MAMANI</t>
  </si>
  <si>
    <t>45275018</t>
  </si>
  <si>
    <t>KATHERINE SONCCO ROMERO</t>
  </si>
  <si>
    <t>72018088</t>
  </si>
  <si>
    <t>WALTER SILVA ESPINOZA</t>
  </si>
  <si>
    <t>05333593</t>
  </si>
  <si>
    <t>ROBERT ROGER CUELLAR HIDALGO</t>
  </si>
  <si>
    <t>42798339</t>
  </si>
  <si>
    <t>CARLOS JAIME COTRINA BECERRA</t>
  </si>
  <si>
    <t>70398624</t>
  </si>
  <si>
    <t>KARINA GONZALES MAS</t>
  </si>
  <si>
    <t>06688218</t>
  </si>
  <si>
    <t>CARLOS EDUARDO ALEMÁN ROMAN</t>
  </si>
  <si>
    <t>21574900</t>
  </si>
  <si>
    <t>WENDY FELIPA MUÑOZ</t>
  </si>
  <si>
    <t>44273857</t>
  </si>
  <si>
    <t>YULI IRENE BERMÚDEZ LÓPEZ</t>
  </si>
  <si>
    <t>75234200</t>
  </si>
  <si>
    <t>JENNIFER BRIGUITT CORPUS BUSTAMENTE</t>
  </si>
  <si>
    <t>73079318</t>
  </si>
  <si>
    <t>FRANCISCO CCARHUARUPAY ROJAS</t>
  </si>
  <si>
    <t>47011167</t>
  </si>
  <si>
    <t>SILVIA SANTISTEBAN VENTURA</t>
  </si>
  <si>
    <t>10444086</t>
  </si>
  <si>
    <t>BLAS NATALIO GÓMEZ LUQUE</t>
  </si>
  <si>
    <t>71194826</t>
  </si>
  <si>
    <t>PABLO LUIS CASANA</t>
  </si>
  <si>
    <t>10349348</t>
  </si>
  <si>
    <t>MARIO APAZA AYMA</t>
  </si>
  <si>
    <t>41656604</t>
  </si>
  <si>
    <t>WILDER RAMOS ANAHUA</t>
  </si>
  <si>
    <t>17435704</t>
  </si>
  <si>
    <t>LUIS ALBERTO SANCHEZ MENDOZA</t>
  </si>
  <si>
    <t>45361921</t>
  </si>
  <si>
    <t>CIELO GRIS VALENCIA LOPEZ</t>
  </si>
  <si>
    <t>41971405</t>
  </si>
  <si>
    <t>NÉSTOR MOISÉS AVENDAÑO RAMOS</t>
  </si>
  <si>
    <t>19898264</t>
  </si>
  <si>
    <t>MARAYMA CABEZAS CURI</t>
  </si>
  <si>
    <t>43048426</t>
  </si>
  <si>
    <t>ARNALDO ALEJANDRO MIRANDA PALOMINO</t>
  </si>
  <si>
    <t>47896286</t>
  </si>
  <si>
    <t>YURICO BARRETO RABINES</t>
  </si>
  <si>
    <t>09239134</t>
  </si>
  <si>
    <t>EULALIA VIGO LLATAS DE YAURI</t>
  </si>
  <si>
    <t>71215958</t>
  </si>
  <si>
    <t>CRISTHIAN GARCIA NICASIO</t>
  </si>
  <si>
    <t>03882487</t>
  </si>
  <si>
    <t>GRACIELA VILCA DIOSES</t>
  </si>
  <si>
    <t>02708148</t>
  </si>
  <si>
    <t>MARTHA NOEMÍ TABOADA POZO</t>
  </si>
  <si>
    <t>73224934</t>
  </si>
  <si>
    <t>MARITZA CYNDY AMAO CURASI</t>
  </si>
  <si>
    <t>47993482</t>
  </si>
  <si>
    <t>YESSENIA ALIZON TAYPE SIMON</t>
  </si>
  <si>
    <t>40199518</t>
  </si>
  <si>
    <t>JOSE DAVID TRUJILLO ROJAS</t>
  </si>
  <si>
    <t>45112720</t>
  </si>
  <si>
    <t>KARINA LUCANO HERRERA</t>
  </si>
  <si>
    <t>74685060</t>
  </si>
  <si>
    <t>LORENA ELIZABET IRIGOIN GUEVARA</t>
  </si>
  <si>
    <t>40882528</t>
  </si>
  <si>
    <t>HAROLD VEGA HIGA</t>
  </si>
  <si>
    <t>45781409</t>
  </si>
  <si>
    <t>EVELYN DAYDILET SAENZ ARELLANO</t>
  </si>
  <si>
    <t>PDV PLUS</t>
  </si>
  <si>
    <t>42381005</t>
  </si>
  <si>
    <t>JULIA NORMA VERGARA ALONZO</t>
  </si>
  <si>
    <t>77245013</t>
  </si>
  <si>
    <t>KATHERINE NICOLLE VALDERA TABOADA</t>
  </si>
  <si>
    <t>17449514</t>
  </si>
  <si>
    <t>HERMES DEL CARMEN SANCHEZ MENDOZA</t>
  </si>
  <si>
    <t>46573618</t>
  </si>
  <si>
    <t>LILIAN ESTHER CORTEGANA TELLO</t>
  </si>
  <si>
    <t>22974922</t>
  </si>
  <si>
    <t>GLADYS TERRONES RODRÍGUEZ</t>
  </si>
  <si>
    <t>41581401</t>
  </si>
  <si>
    <t>ROSA QUILICHE RONCAL</t>
  </si>
  <si>
    <t>20071886</t>
  </si>
  <si>
    <t>WILBER SARMIENTO REINAGA</t>
  </si>
  <si>
    <t>29591387</t>
  </si>
  <si>
    <t>GENY BEATRIZ RAMIREZ SONCCO</t>
  </si>
  <si>
    <t>20068374</t>
  </si>
  <si>
    <t>LEONOR GLORIA MALLQUI INGA</t>
  </si>
  <si>
    <t>15649051</t>
  </si>
  <si>
    <t>JAVIER LOPEZ SAENZ</t>
  </si>
  <si>
    <t>41169937</t>
  </si>
  <si>
    <t>MARCO ANTONIO DE LA CRUZ PECEROS</t>
  </si>
  <si>
    <t>48322412</t>
  </si>
  <si>
    <t>ANGEL MANUEL DE JESUS HERRERA POLO</t>
  </si>
  <si>
    <t>09717331</t>
  </si>
  <si>
    <t>JUAN VALDIVIA URETA</t>
  </si>
  <si>
    <t>76270406</t>
  </si>
  <si>
    <t>CAMILA ALEJANDRA PACHECO MEZA</t>
  </si>
  <si>
    <t>29447419</t>
  </si>
  <si>
    <t>ANTONIO PARILLO SUPO</t>
  </si>
  <si>
    <t>43707128</t>
  </si>
  <si>
    <t>ROSARIO DEL PILAR BAYONA PURIZACA</t>
  </si>
  <si>
    <t>48460002</t>
  </si>
  <si>
    <t>ROBINSON HUANIO FASANANDO</t>
  </si>
  <si>
    <t>20573687</t>
  </si>
  <si>
    <t>MARIA EUGENIA ORDOÑEZ PONCE</t>
  </si>
  <si>
    <t>43678001</t>
  </si>
  <si>
    <t>CECI MARIA CABRERA CASTRO</t>
  </si>
  <si>
    <t>41951654</t>
  </si>
  <si>
    <t>KARIM KAROLINA DIAZ RAMIREZ</t>
  </si>
  <si>
    <t>41772284</t>
  </si>
  <si>
    <t>MARIA DEL CARMEN GUTIERREZ MIÑAN</t>
  </si>
  <si>
    <t>44972560</t>
  </si>
  <si>
    <t>CRISTHIAN JAICO PONTE</t>
  </si>
  <si>
    <t>49014762</t>
  </si>
  <si>
    <t>BRAYANT JOEL LAVINZ BENTIN</t>
  </si>
  <si>
    <t>60867451</t>
  </si>
  <si>
    <t>LALY LUISA VILLACORTA BARBOZA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</si>
</sst>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4" tint="0.59999389629810485"/>
      </left>
      <right/>
      <top/>
      <bottom/>
      <diagonal/>
    </border>
    <border>
      <left/>
      <right style="thin">
        <color theme="4" tint="0.59999389629810485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7" borderId="2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7" borderId="0" xfId="0" applyFill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ctor.andagua\Downloads\Report%20transaciones%202026-01-14%20084906.xlsx" TargetMode="External"/><Relationship Id="rId1" Type="http://schemas.openxmlformats.org/officeDocument/2006/relationships/externalLinkPath" Target="/Users/hector.andagua/Downloads/Report%20transaciones%202026-01-14%200849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ctor.andagua\Downloads\Entel\CLUB%20POWER%20VERANO_2026\INFO\Lista%20Paretto%20final%20-%20Din&#225;mica%201%20-%20al%2013Ene.xlsx" TargetMode="External"/><Relationship Id="rId1" Type="http://schemas.openxmlformats.org/officeDocument/2006/relationships/externalLinkPath" Target="/Users/hector.andagua/Downloads/Entel/CLUB%20POWER%20VERANO_2026/INFO/Lista%20Paretto%20final%20-%20Din&#225;mica%201%20-%20al%2013E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oja1"/>
    </sheetNames>
    <sheetDataSet>
      <sheetData sheetId="0"/>
      <sheetData sheetId="1">
        <row r="1">
          <cell r="A1" t="str">
            <v>ACTIVATIONTYPE</v>
          </cell>
          <cell r="B1" t="str">
            <v>(Varios elementos)</v>
          </cell>
          <cell r="D1" t="str">
            <v>ACTIVATIONTYPE</v>
          </cell>
          <cell r="E1" t="str">
            <v>(Varios elementos)</v>
          </cell>
        </row>
        <row r="3">
          <cell r="A3" t="str">
            <v>Etiquetas de fila</v>
          </cell>
          <cell r="B3" t="str">
            <v>Cuenta de TXNID</v>
          </cell>
          <cell r="D3" t="str">
            <v>Etiquetas de fila</v>
          </cell>
          <cell r="E3" t="str">
            <v>Cuenta de TXNID</v>
          </cell>
        </row>
        <row r="4">
          <cell r="A4" t="str">
            <v>00077165</v>
          </cell>
          <cell r="B4">
            <v>12</v>
          </cell>
          <cell r="D4" t="str">
            <v>00077165</v>
          </cell>
          <cell r="E4">
            <v>2</v>
          </cell>
        </row>
        <row r="5">
          <cell r="A5" t="str">
            <v>00088775</v>
          </cell>
          <cell r="B5">
            <v>2</v>
          </cell>
          <cell r="D5" t="str">
            <v>001309114</v>
          </cell>
          <cell r="E5">
            <v>2</v>
          </cell>
        </row>
        <row r="6">
          <cell r="A6" t="str">
            <v>00098690</v>
          </cell>
          <cell r="B6">
            <v>29</v>
          </cell>
          <cell r="D6" t="str">
            <v>00185876</v>
          </cell>
          <cell r="E6">
            <v>1</v>
          </cell>
        </row>
        <row r="7">
          <cell r="A7" t="str">
            <v>00109149</v>
          </cell>
          <cell r="B7">
            <v>1</v>
          </cell>
          <cell r="D7" t="str">
            <v>002337284</v>
          </cell>
          <cell r="E7">
            <v>2</v>
          </cell>
        </row>
        <row r="8">
          <cell r="A8" t="str">
            <v>00111400</v>
          </cell>
          <cell r="B8">
            <v>9</v>
          </cell>
          <cell r="D8" t="str">
            <v>00241564</v>
          </cell>
          <cell r="E8">
            <v>1</v>
          </cell>
        </row>
        <row r="9">
          <cell r="A9" t="str">
            <v>001309114</v>
          </cell>
          <cell r="B9">
            <v>9</v>
          </cell>
          <cell r="D9" t="str">
            <v>002637633</v>
          </cell>
          <cell r="E9">
            <v>2</v>
          </cell>
        </row>
        <row r="10">
          <cell r="A10" t="str">
            <v>00165817</v>
          </cell>
          <cell r="B10">
            <v>7</v>
          </cell>
          <cell r="D10" t="str">
            <v>002905938</v>
          </cell>
          <cell r="E10">
            <v>1</v>
          </cell>
        </row>
        <row r="11">
          <cell r="A11" t="str">
            <v>00183845</v>
          </cell>
          <cell r="B11">
            <v>7</v>
          </cell>
          <cell r="D11" t="str">
            <v>003015103</v>
          </cell>
          <cell r="E11">
            <v>7</v>
          </cell>
        </row>
        <row r="12">
          <cell r="A12" t="str">
            <v>00185876</v>
          </cell>
          <cell r="B12">
            <v>29</v>
          </cell>
          <cell r="D12" t="str">
            <v>003040650</v>
          </cell>
          <cell r="E12">
            <v>1</v>
          </cell>
        </row>
        <row r="13">
          <cell r="A13" t="str">
            <v>001879698</v>
          </cell>
          <cell r="B13">
            <v>7</v>
          </cell>
          <cell r="D13" t="str">
            <v>003254782</v>
          </cell>
          <cell r="E13">
            <v>1</v>
          </cell>
        </row>
        <row r="14">
          <cell r="A14" t="str">
            <v>002191643</v>
          </cell>
          <cell r="B14">
            <v>10</v>
          </cell>
          <cell r="D14" t="str">
            <v>00445866</v>
          </cell>
          <cell r="E14">
            <v>7</v>
          </cell>
        </row>
        <row r="15">
          <cell r="A15" t="str">
            <v>002337284</v>
          </cell>
          <cell r="B15">
            <v>12</v>
          </cell>
          <cell r="D15" t="str">
            <v>00476921</v>
          </cell>
          <cell r="E15">
            <v>1</v>
          </cell>
        </row>
        <row r="16">
          <cell r="A16" t="str">
            <v>00238844</v>
          </cell>
          <cell r="B16">
            <v>25</v>
          </cell>
          <cell r="D16" t="str">
            <v>00481237</v>
          </cell>
          <cell r="E16">
            <v>2</v>
          </cell>
        </row>
        <row r="17">
          <cell r="A17" t="str">
            <v>00240367</v>
          </cell>
          <cell r="B17">
            <v>30</v>
          </cell>
          <cell r="D17" t="str">
            <v>00505104</v>
          </cell>
          <cell r="E17">
            <v>16</v>
          </cell>
        </row>
        <row r="18">
          <cell r="A18" t="str">
            <v>00241564</v>
          </cell>
          <cell r="B18">
            <v>24</v>
          </cell>
          <cell r="D18" t="str">
            <v>00513088</v>
          </cell>
          <cell r="E18">
            <v>6</v>
          </cell>
        </row>
        <row r="19">
          <cell r="A19" t="str">
            <v>00244767</v>
          </cell>
          <cell r="B19">
            <v>12</v>
          </cell>
          <cell r="D19" t="str">
            <v>005420495</v>
          </cell>
          <cell r="E19">
            <v>1</v>
          </cell>
        </row>
        <row r="20">
          <cell r="A20" t="str">
            <v>00249025</v>
          </cell>
          <cell r="B20">
            <v>12</v>
          </cell>
          <cell r="D20" t="str">
            <v>007054930</v>
          </cell>
          <cell r="E20">
            <v>1</v>
          </cell>
        </row>
        <row r="21">
          <cell r="A21" t="str">
            <v>00254771</v>
          </cell>
          <cell r="B21">
            <v>5</v>
          </cell>
          <cell r="D21" t="str">
            <v>007372042</v>
          </cell>
          <cell r="E21">
            <v>6</v>
          </cell>
        </row>
        <row r="22">
          <cell r="A22" t="str">
            <v>00256126</v>
          </cell>
          <cell r="B22">
            <v>7</v>
          </cell>
          <cell r="D22" t="str">
            <v>00831917</v>
          </cell>
          <cell r="E22">
            <v>4</v>
          </cell>
        </row>
        <row r="23">
          <cell r="A23" t="str">
            <v>002637633</v>
          </cell>
          <cell r="B23">
            <v>28</v>
          </cell>
          <cell r="D23" t="str">
            <v>00833854</v>
          </cell>
          <cell r="E23">
            <v>4</v>
          </cell>
        </row>
        <row r="24">
          <cell r="A24" t="str">
            <v>002831231</v>
          </cell>
          <cell r="B24">
            <v>6</v>
          </cell>
          <cell r="D24" t="str">
            <v>01048408</v>
          </cell>
          <cell r="E24">
            <v>1</v>
          </cell>
        </row>
        <row r="25">
          <cell r="A25" t="str">
            <v>002905938</v>
          </cell>
          <cell r="B25">
            <v>14</v>
          </cell>
          <cell r="D25" t="str">
            <v>01118348</v>
          </cell>
          <cell r="E25">
            <v>1</v>
          </cell>
        </row>
        <row r="26">
          <cell r="A26" t="str">
            <v>003015103</v>
          </cell>
          <cell r="B26">
            <v>70</v>
          </cell>
          <cell r="D26" t="str">
            <v>01131162</v>
          </cell>
          <cell r="E26">
            <v>1</v>
          </cell>
        </row>
        <row r="27">
          <cell r="A27" t="str">
            <v>003040650</v>
          </cell>
          <cell r="B27">
            <v>3</v>
          </cell>
          <cell r="D27" t="str">
            <v>01539174</v>
          </cell>
          <cell r="E27">
            <v>4</v>
          </cell>
        </row>
        <row r="28">
          <cell r="A28" t="str">
            <v>003254782</v>
          </cell>
          <cell r="B28">
            <v>8</v>
          </cell>
          <cell r="D28" t="str">
            <v>01543524</v>
          </cell>
          <cell r="E28">
            <v>2</v>
          </cell>
        </row>
        <row r="29">
          <cell r="A29" t="str">
            <v>00327989</v>
          </cell>
          <cell r="B29">
            <v>5</v>
          </cell>
          <cell r="D29" t="str">
            <v>01558565</v>
          </cell>
          <cell r="E29">
            <v>1</v>
          </cell>
        </row>
        <row r="30">
          <cell r="A30" t="str">
            <v>003320130</v>
          </cell>
          <cell r="B30">
            <v>6</v>
          </cell>
          <cell r="D30" t="str">
            <v>01558664</v>
          </cell>
          <cell r="E30">
            <v>1</v>
          </cell>
        </row>
        <row r="31">
          <cell r="A31" t="str">
            <v>003544120</v>
          </cell>
          <cell r="B31">
            <v>1</v>
          </cell>
          <cell r="D31" t="str">
            <v>01561173</v>
          </cell>
          <cell r="E31">
            <v>1</v>
          </cell>
        </row>
        <row r="32">
          <cell r="A32" t="str">
            <v>00369910</v>
          </cell>
          <cell r="B32">
            <v>5</v>
          </cell>
          <cell r="D32" t="str">
            <v>01700645</v>
          </cell>
          <cell r="E32">
            <v>1</v>
          </cell>
        </row>
        <row r="33">
          <cell r="A33" t="str">
            <v>00370474</v>
          </cell>
          <cell r="B33">
            <v>9</v>
          </cell>
          <cell r="D33" t="str">
            <v>01854975</v>
          </cell>
          <cell r="E33">
            <v>1</v>
          </cell>
        </row>
        <row r="34">
          <cell r="A34" t="str">
            <v>00373308</v>
          </cell>
          <cell r="B34">
            <v>3</v>
          </cell>
          <cell r="D34" t="str">
            <v>01857352</v>
          </cell>
          <cell r="E34">
            <v>1</v>
          </cell>
        </row>
        <row r="35">
          <cell r="A35" t="str">
            <v>00374261</v>
          </cell>
          <cell r="B35">
            <v>3</v>
          </cell>
          <cell r="D35" t="str">
            <v>02146898</v>
          </cell>
          <cell r="E35">
            <v>2</v>
          </cell>
        </row>
        <row r="36">
          <cell r="A36" t="str">
            <v>003799524</v>
          </cell>
          <cell r="B36">
            <v>5</v>
          </cell>
          <cell r="D36" t="str">
            <v>02266940</v>
          </cell>
          <cell r="E36">
            <v>1</v>
          </cell>
        </row>
        <row r="37">
          <cell r="A37" t="str">
            <v>003874688</v>
          </cell>
          <cell r="B37">
            <v>10</v>
          </cell>
          <cell r="D37" t="str">
            <v>02305545</v>
          </cell>
          <cell r="E37">
            <v>1</v>
          </cell>
        </row>
        <row r="38">
          <cell r="A38" t="str">
            <v>004096236</v>
          </cell>
          <cell r="B38">
            <v>3</v>
          </cell>
          <cell r="D38" t="str">
            <v>02437190</v>
          </cell>
          <cell r="E38">
            <v>1</v>
          </cell>
        </row>
        <row r="39">
          <cell r="A39" t="str">
            <v>00444540</v>
          </cell>
          <cell r="B39">
            <v>1</v>
          </cell>
          <cell r="D39" t="str">
            <v>02439418</v>
          </cell>
          <cell r="E39">
            <v>1</v>
          </cell>
        </row>
        <row r="40">
          <cell r="A40" t="str">
            <v>00445866</v>
          </cell>
          <cell r="B40">
            <v>69</v>
          </cell>
          <cell r="D40" t="str">
            <v>02442300</v>
          </cell>
          <cell r="E40">
            <v>2</v>
          </cell>
        </row>
        <row r="41">
          <cell r="A41" t="str">
            <v>00446479</v>
          </cell>
          <cell r="B41">
            <v>2</v>
          </cell>
          <cell r="D41" t="str">
            <v>02685702</v>
          </cell>
          <cell r="E41">
            <v>1</v>
          </cell>
        </row>
        <row r="42">
          <cell r="A42" t="str">
            <v>00450278</v>
          </cell>
          <cell r="B42">
            <v>2</v>
          </cell>
          <cell r="D42" t="str">
            <v>02708148</v>
          </cell>
          <cell r="E42">
            <v>4</v>
          </cell>
        </row>
        <row r="43">
          <cell r="A43" t="str">
            <v>004531217</v>
          </cell>
          <cell r="B43">
            <v>2</v>
          </cell>
          <cell r="D43" t="str">
            <v>02794742</v>
          </cell>
          <cell r="E43">
            <v>1</v>
          </cell>
        </row>
        <row r="44">
          <cell r="A44" t="str">
            <v>00467450</v>
          </cell>
          <cell r="B44">
            <v>5</v>
          </cell>
          <cell r="D44" t="str">
            <v>02813488</v>
          </cell>
          <cell r="E44">
            <v>2</v>
          </cell>
        </row>
        <row r="45">
          <cell r="A45" t="str">
            <v>004677412</v>
          </cell>
          <cell r="B45">
            <v>4</v>
          </cell>
          <cell r="D45" t="str">
            <v>02818533</v>
          </cell>
          <cell r="E45">
            <v>7</v>
          </cell>
        </row>
        <row r="46">
          <cell r="A46" t="str">
            <v>004735796</v>
          </cell>
          <cell r="B46">
            <v>2</v>
          </cell>
          <cell r="D46" t="str">
            <v>02827452</v>
          </cell>
          <cell r="E46">
            <v>1</v>
          </cell>
        </row>
        <row r="47">
          <cell r="A47" t="str">
            <v>00476921</v>
          </cell>
          <cell r="B47">
            <v>42</v>
          </cell>
          <cell r="D47" t="str">
            <v>02835608</v>
          </cell>
          <cell r="E47">
            <v>2</v>
          </cell>
        </row>
        <row r="48">
          <cell r="A48" t="str">
            <v>00481237</v>
          </cell>
          <cell r="B48">
            <v>21</v>
          </cell>
          <cell r="D48" t="str">
            <v>02855644</v>
          </cell>
          <cell r="E48">
            <v>2</v>
          </cell>
        </row>
        <row r="49">
          <cell r="A49" t="str">
            <v>00499546</v>
          </cell>
          <cell r="B49">
            <v>5</v>
          </cell>
          <cell r="D49" t="str">
            <v>02859296</v>
          </cell>
          <cell r="E49">
            <v>1</v>
          </cell>
        </row>
        <row r="50">
          <cell r="A50" t="str">
            <v>005045497</v>
          </cell>
          <cell r="B50">
            <v>13</v>
          </cell>
          <cell r="D50" t="str">
            <v>02894472</v>
          </cell>
          <cell r="E50">
            <v>2</v>
          </cell>
        </row>
        <row r="51">
          <cell r="A51" t="str">
            <v>00504872</v>
          </cell>
          <cell r="B51">
            <v>6</v>
          </cell>
          <cell r="D51" t="str">
            <v>03234751</v>
          </cell>
          <cell r="E51">
            <v>1</v>
          </cell>
        </row>
        <row r="52">
          <cell r="A52" t="str">
            <v>00505104</v>
          </cell>
          <cell r="B52">
            <v>87</v>
          </cell>
          <cell r="D52" t="str">
            <v>03498206</v>
          </cell>
          <cell r="E52">
            <v>1</v>
          </cell>
        </row>
        <row r="53">
          <cell r="A53" t="str">
            <v>00513088</v>
          </cell>
          <cell r="B53">
            <v>70</v>
          </cell>
          <cell r="D53" t="str">
            <v>03594149</v>
          </cell>
          <cell r="E53">
            <v>5</v>
          </cell>
        </row>
        <row r="54">
          <cell r="A54" t="str">
            <v>005138105</v>
          </cell>
          <cell r="B54">
            <v>17</v>
          </cell>
          <cell r="D54" t="str">
            <v>03692175</v>
          </cell>
          <cell r="E54">
            <v>1</v>
          </cell>
        </row>
        <row r="55">
          <cell r="A55" t="str">
            <v>00521008</v>
          </cell>
          <cell r="B55">
            <v>8</v>
          </cell>
          <cell r="D55" t="str">
            <v>03859882</v>
          </cell>
          <cell r="E55">
            <v>1</v>
          </cell>
        </row>
        <row r="56">
          <cell r="A56" t="str">
            <v>00523392</v>
          </cell>
          <cell r="B56">
            <v>7</v>
          </cell>
          <cell r="D56" t="str">
            <v>03882487</v>
          </cell>
          <cell r="E56">
            <v>6</v>
          </cell>
        </row>
        <row r="57">
          <cell r="A57" t="str">
            <v>005420495</v>
          </cell>
          <cell r="B57">
            <v>30</v>
          </cell>
          <cell r="D57" t="str">
            <v>04205803</v>
          </cell>
          <cell r="E57">
            <v>1</v>
          </cell>
        </row>
        <row r="58">
          <cell r="A58" t="str">
            <v>005577552</v>
          </cell>
          <cell r="B58">
            <v>2</v>
          </cell>
          <cell r="D58" t="str">
            <v>04220884</v>
          </cell>
          <cell r="E58">
            <v>2</v>
          </cell>
        </row>
        <row r="59">
          <cell r="A59" t="str">
            <v>006265628</v>
          </cell>
          <cell r="B59">
            <v>8</v>
          </cell>
          <cell r="D59" t="str">
            <v>04221408</v>
          </cell>
          <cell r="E59">
            <v>1</v>
          </cell>
        </row>
        <row r="60">
          <cell r="A60" t="str">
            <v>006320586</v>
          </cell>
          <cell r="B60">
            <v>5</v>
          </cell>
          <cell r="D60" t="str">
            <v>04653282</v>
          </cell>
          <cell r="E60">
            <v>1</v>
          </cell>
        </row>
        <row r="61">
          <cell r="A61" t="str">
            <v>006654235</v>
          </cell>
          <cell r="B61">
            <v>4</v>
          </cell>
          <cell r="D61" t="str">
            <v>05311451</v>
          </cell>
          <cell r="E61">
            <v>2</v>
          </cell>
        </row>
        <row r="62">
          <cell r="A62" t="str">
            <v>006715793</v>
          </cell>
          <cell r="B62">
            <v>4</v>
          </cell>
          <cell r="D62" t="str">
            <v>05333593</v>
          </cell>
          <cell r="E62">
            <v>4</v>
          </cell>
        </row>
        <row r="63">
          <cell r="A63" t="str">
            <v>006721145</v>
          </cell>
          <cell r="B63">
            <v>4</v>
          </cell>
          <cell r="D63" t="str">
            <v>05376742</v>
          </cell>
          <cell r="E63">
            <v>4</v>
          </cell>
        </row>
        <row r="64">
          <cell r="A64" t="str">
            <v>006736187</v>
          </cell>
          <cell r="B64">
            <v>2</v>
          </cell>
          <cell r="D64" t="str">
            <v>05407454</v>
          </cell>
          <cell r="E64">
            <v>1</v>
          </cell>
        </row>
        <row r="65">
          <cell r="A65" t="str">
            <v>007054930</v>
          </cell>
          <cell r="B65">
            <v>16</v>
          </cell>
          <cell r="D65" t="str">
            <v>06661796</v>
          </cell>
          <cell r="E65">
            <v>1</v>
          </cell>
        </row>
        <row r="66">
          <cell r="A66" t="str">
            <v>007372042</v>
          </cell>
          <cell r="B66">
            <v>59</v>
          </cell>
          <cell r="D66" t="str">
            <v>06688218</v>
          </cell>
          <cell r="E66">
            <v>3</v>
          </cell>
        </row>
        <row r="67">
          <cell r="A67" t="str">
            <v>007555132</v>
          </cell>
          <cell r="B67">
            <v>3</v>
          </cell>
          <cell r="D67" t="str">
            <v>06837629</v>
          </cell>
          <cell r="E67">
            <v>7</v>
          </cell>
        </row>
        <row r="68">
          <cell r="A68" t="str">
            <v>00793924</v>
          </cell>
          <cell r="B68">
            <v>14</v>
          </cell>
          <cell r="D68" t="str">
            <v>06919008</v>
          </cell>
          <cell r="E68">
            <v>2</v>
          </cell>
        </row>
        <row r="69">
          <cell r="A69" t="str">
            <v>00822494</v>
          </cell>
          <cell r="B69">
            <v>2</v>
          </cell>
          <cell r="D69" t="str">
            <v>07448218</v>
          </cell>
          <cell r="E69">
            <v>1</v>
          </cell>
        </row>
        <row r="70">
          <cell r="A70" t="str">
            <v>00831917</v>
          </cell>
          <cell r="B70">
            <v>32</v>
          </cell>
          <cell r="D70" t="str">
            <v>07483765</v>
          </cell>
          <cell r="E70">
            <v>1</v>
          </cell>
        </row>
        <row r="71">
          <cell r="A71" t="str">
            <v>00833854</v>
          </cell>
          <cell r="B71">
            <v>11</v>
          </cell>
          <cell r="D71" t="str">
            <v>07495790</v>
          </cell>
          <cell r="E71">
            <v>1</v>
          </cell>
        </row>
        <row r="72">
          <cell r="A72" t="str">
            <v>00870615</v>
          </cell>
          <cell r="B72">
            <v>4</v>
          </cell>
          <cell r="D72" t="str">
            <v>07528823</v>
          </cell>
          <cell r="E72">
            <v>1</v>
          </cell>
        </row>
        <row r="73">
          <cell r="A73" t="str">
            <v>00948030</v>
          </cell>
          <cell r="B73">
            <v>3</v>
          </cell>
          <cell r="D73" t="str">
            <v>07644269</v>
          </cell>
          <cell r="E73">
            <v>1</v>
          </cell>
        </row>
        <row r="74">
          <cell r="A74" t="str">
            <v>00948728</v>
          </cell>
          <cell r="B74">
            <v>5</v>
          </cell>
          <cell r="D74" t="str">
            <v>08315966</v>
          </cell>
          <cell r="E74">
            <v>1</v>
          </cell>
        </row>
        <row r="75">
          <cell r="A75" t="str">
            <v>00965533</v>
          </cell>
          <cell r="B75">
            <v>1</v>
          </cell>
          <cell r="D75" t="str">
            <v>08355361</v>
          </cell>
          <cell r="E75">
            <v>1</v>
          </cell>
        </row>
        <row r="76">
          <cell r="A76" t="str">
            <v>01048408</v>
          </cell>
          <cell r="B76">
            <v>10</v>
          </cell>
          <cell r="D76" t="str">
            <v>08374192</v>
          </cell>
          <cell r="E76">
            <v>2</v>
          </cell>
        </row>
        <row r="77">
          <cell r="A77" t="str">
            <v>01060853</v>
          </cell>
          <cell r="B77">
            <v>1</v>
          </cell>
          <cell r="D77" t="str">
            <v>08451965</v>
          </cell>
          <cell r="E77">
            <v>1</v>
          </cell>
        </row>
        <row r="78">
          <cell r="A78" t="str">
            <v>01117413</v>
          </cell>
          <cell r="B78">
            <v>1</v>
          </cell>
          <cell r="D78" t="str">
            <v>08527751</v>
          </cell>
          <cell r="E78">
            <v>12</v>
          </cell>
        </row>
        <row r="79">
          <cell r="A79" t="str">
            <v>01118348</v>
          </cell>
          <cell r="B79">
            <v>8</v>
          </cell>
          <cell r="D79" t="str">
            <v>08616084</v>
          </cell>
          <cell r="E79">
            <v>2</v>
          </cell>
        </row>
        <row r="80">
          <cell r="A80" t="str">
            <v>01131162</v>
          </cell>
          <cell r="B80">
            <v>14</v>
          </cell>
          <cell r="D80" t="str">
            <v>08619599</v>
          </cell>
          <cell r="E80">
            <v>4</v>
          </cell>
        </row>
        <row r="81">
          <cell r="A81" t="str">
            <v>01149275</v>
          </cell>
          <cell r="B81">
            <v>4</v>
          </cell>
          <cell r="D81" t="str">
            <v>08876781</v>
          </cell>
          <cell r="E81">
            <v>2</v>
          </cell>
        </row>
        <row r="82">
          <cell r="A82" t="str">
            <v>01174292</v>
          </cell>
          <cell r="B82">
            <v>11</v>
          </cell>
          <cell r="D82" t="str">
            <v>08885484</v>
          </cell>
          <cell r="E82">
            <v>2</v>
          </cell>
        </row>
        <row r="83">
          <cell r="A83" t="str">
            <v>01327693</v>
          </cell>
          <cell r="B83">
            <v>2</v>
          </cell>
          <cell r="D83" t="str">
            <v>09049773</v>
          </cell>
          <cell r="E83">
            <v>7</v>
          </cell>
        </row>
        <row r="84">
          <cell r="A84" t="str">
            <v>01328578</v>
          </cell>
          <cell r="B84">
            <v>3</v>
          </cell>
          <cell r="D84" t="str">
            <v>09114864</v>
          </cell>
          <cell r="E84">
            <v>2</v>
          </cell>
        </row>
        <row r="85">
          <cell r="A85" t="str">
            <v>01539174</v>
          </cell>
          <cell r="B85">
            <v>20</v>
          </cell>
          <cell r="D85" t="str">
            <v>09189673</v>
          </cell>
          <cell r="E85">
            <v>1</v>
          </cell>
        </row>
        <row r="86">
          <cell r="A86" t="str">
            <v>01543524</v>
          </cell>
          <cell r="B86">
            <v>16</v>
          </cell>
          <cell r="D86" t="str">
            <v>09232347</v>
          </cell>
          <cell r="E86">
            <v>1</v>
          </cell>
        </row>
        <row r="87">
          <cell r="A87" t="str">
            <v>01558565</v>
          </cell>
          <cell r="B87">
            <v>41</v>
          </cell>
          <cell r="D87" t="str">
            <v>09239134</v>
          </cell>
          <cell r="E87">
            <v>2</v>
          </cell>
        </row>
        <row r="88">
          <cell r="A88" t="str">
            <v>01558664</v>
          </cell>
          <cell r="B88">
            <v>44</v>
          </cell>
          <cell r="D88" t="str">
            <v>09292945</v>
          </cell>
          <cell r="E88">
            <v>1</v>
          </cell>
        </row>
        <row r="89">
          <cell r="A89" t="str">
            <v>01559801</v>
          </cell>
          <cell r="B89">
            <v>8</v>
          </cell>
          <cell r="D89" t="str">
            <v>09352826</v>
          </cell>
          <cell r="E89">
            <v>2</v>
          </cell>
        </row>
        <row r="90">
          <cell r="A90" t="str">
            <v>01561173</v>
          </cell>
          <cell r="B90">
            <v>17</v>
          </cell>
          <cell r="D90" t="str">
            <v>09383160</v>
          </cell>
          <cell r="E90">
            <v>3</v>
          </cell>
        </row>
        <row r="91">
          <cell r="A91" t="str">
            <v>01700645</v>
          </cell>
          <cell r="B91">
            <v>1</v>
          </cell>
          <cell r="D91" t="str">
            <v>09402752</v>
          </cell>
          <cell r="E91">
            <v>1</v>
          </cell>
        </row>
        <row r="92">
          <cell r="A92" t="str">
            <v>01854975</v>
          </cell>
          <cell r="B92">
            <v>5</v>
          </cell>
          <cell r="D92" t="str">
            <v>09531484</v>
          </cell>
          <cell r="E92">
            <v>3</v>
          </cell>
        </row>
        <row r="93">
          <cell r="A93" t="str">
            <v>01857352</v>
          </cell>
          <cell r="B93">
            <v>1</v>
          </cell>
          <cell r="D93" t="str">
            <v>09579488</v>
          </cell>
          <cell r="E93">
            <v>1</v>
          </cell>
        </row>
        <row r="94">
          <cell r="A94" t="str">
            <v>01864982</v>
          </cell>
          <cell r="B94">
            <v>13</v>
          </cell>
          <cell r="D94" t="str">
            <v>09589059</v>
          </cell>
          <cell r="E94">
            <v>2</v>
          </cell>
        </row>
        <row r="95">
          <cell r="A95" t="str">
            <v>01874660</v>
          </cell>
          <cell r="B95">
            <v>11</v>
          </cell>
          <cell r="D95" t="str">
            <v>09589876</v>
          </cell>
          <cell r="E95">
            <v>1</v>
          </cell>
        </row>
        <row r="96">
          <cell r="A96" t="str">
            <v>02038663</v>
          </cell>
          <cell r="B96">
            <v>4</v>
          </cell>
          <cell r="D96" t="str">
            <v>09656418</v>
          </cell>
          <cell r="E96">
            <v>2</v>
          </cell>
        </row>
        <row r="97">
          <cell r="A97" t="str">
            <v>02146898</v>
          </cell>
          <cell r="B97">
            <v>5</v>
          </cell>
          <cell r="D97" t="str">
            <v>09660500</v>
          </cell>
          <cell r="E97">
            <v>1</v>
          </cell>
        </row>
        <row r="98">
          <cell r="A98" t="str">
            <v>02167799</v>
          </cell>
          <cell r="B98">
            <v>2</v>
          </cell>
          <cell r="D98" t="str">
            <v>09663956</v>
          </cell>
          <cell r="E98">
            <v>1</v>
          </cell>
        </row>
        <row r="99">
          <cell r="A99" t="str">
            <v>02260726</v>
          </cell>
          <cell r="B99">
            <v>8</v>
          </cell>
          <cell r="D99" t="str">
            <v>09703281</v>
          </cell>
          <cell r="E99">
            <v>1</v>
          </cell>
        </row>
        <row r="100">
          <cell r="A100" t="str">
            <v>02266940</v>
          </cell>
          <cell r="B100">
            <v>20</v>
          </cell>
          <cell r="D100" t="str">
            <v>09717331</v>
          </cell>
          <cell r="E100">
            <v>3</v>
          </cell>
        </row>
        <row r="101">
          <cell r="A101" t="str">
            <v>02299787</v>
          </cell>
          <cell r="B101">
            <v>2</v>
          </cell>
          <cell r="D101" t="str">
            <v>09734286</v>
          </cell>
          <cell r="E101">
            <v>3</v>
          </cell>
        </row>
        <row r="102">
          <cell r="A102" t="str">
            <v>02305545</v>
          </cell>
          <cell r="B102">
            <v>9</v>
          </cell>
          <cell r="D102" t="str">
            <v>09757921</v>
          </cell>
          <cell r="E102">
            <v>5</v>
          </cell>
        </row>
        <row r="103">
          <cell r="A103" t="str">
            <v>02382046</v>
          </cell>
          <cell r="B103">
            <v>6</v>
          </cell>
          <cell r="D103" t="str">
            <v>09785453</v>
          </cell>
          <cell r="E103">
            <v>1</v>
          </cell>
        </row>
        <row r="104">
          <cell r="A104" t="str">
            <v>02413054</v>
          </cell>
          <cell r="B104">
            <v>8</v>
          </cell>
          <cell r="D104" t="str">
            <v>09799355</v>
          </cell>
          <cell r="E104">
            <v>1</v>
          </cell>
        </row>
        <row r="105">
          <cell r="A105" t="str">
            <v>02413568</v>
          </cell>
          <cell r="B105">
            <v>2</v>
          </cell>
          <cell r="D105" t="str">
            <v>09801129</v>
          </cell>
          <cell r="E105">
            <v>3</v>
          </cell>
        </row>
        <row r="106">
          <cell r="A106" t="str">
            <v>02429016</v>
          </cell>
          <cell r="B106">
            <v>2</v>
          </cell>
          <cell r="D106" t="str">
            <v>09811877</v>
          </cell>
          <cell r="E106">
            <v>2</v>
          </cell>
        </row>
        <row r="107">
          <cell r="A107" t="str">
            <v>02431625</v>
          </cell>
          <cell r="B107">
            <v>3</v>
          </cell>
          <cell r="D107" t="str">
            <v>09859630</v>
          </cell>
          <cell r="E107">
            <v>1</v>
          </cell>
        </row>
        <row r="108">
          <cell r="A108" t="str">
            <v>02437190</v>
          </cell>
          <cell r="B108">
            <v>4</v>
          </cell>
          <cell r="D108" t="str">
            <v>09892606</v>
          </cell>
          <cell r="E108">
            <v>1</v>
          </cell>
        </row>
        <row r="109">
          <cell r="A109" t="str">
            <v>02439077</v>
          </cell>
          <cell r="B109">
            <v>3</v>
          </cell>
          <cell r="D109" t="str">
            <v>09898437</v>
          </cell>
          <cell r="E109">
            <v>1</v>
          </cell>
        </row>
        <row r="110">
          <cell r="A110" t="str">
            <v>02439418</v>
          </cell>
          <cell r="B110">
            <v>11</v>
          </cell>
          <cell r="D110" t="str">
            <v>09930446</v>
          </cell>
          <cell r="E110">
            <v>1</v>
          </cell>
        </row>
        <row r="111">
          <cell r="A111" t="str">
            <v>02442300</v>
          </cell>
          <cell r="B111">
            <v>7</v>
          </cell>
          <cell r="D111" t="str">
            <v>09938074</v>
          </cell>
          <cell r="E111">
            <v>4</v>
          </cell>
        </row>
        <row r="112">
          <cell r="A112" t="str">
            <v>02444720</v>
          </cell>
          <cell r="B112">
            <v>7</v>
          </cell>
          <cell r="D112" t="str">
            <v>09938783</v>
          </cell>
          <cell r="E112">
            <v>3</v>
          </cell>
        </row>
        <row r="113">
          <cell r="A113" t="str">
            <v>02448997</v>
          </cell>
          <cell r="B113">
            <v>1</v>
          </cell>
          <cell r="D113" t="str">
            <v>09940731</v>
          </cell>
          <cell r="E113">
            <v>4</v>
          </cell>
        </row>
        <row r="114">
          <cell r="A114" t="str">
            <v>02624701</v>
          </cell>
          <cell r="B114">
            <v>9</v>
          </cell>
          <cell r="D114" t="str">
            <v>09987120</v>
          </cell>
          <cell r="E114">
            <v>1</v>
          </cell>
        </row>
        <row r="115">
          <cell r="A115" t="str">
            <v>02639445</v>
          </cell>
          <cell r="B115">
            <v>4</v>
          </cell>
          <cell r="D115" t="str">
            <v>10001342</v>
          </cell>
          <cell r="E115">
            <v>1</v>
          </cell>
        </row>
        <row r="116">
          <cell r="A116" t="str">
            <v>02657586</v>
          </cell>
          <cell r="B116">
            <v>6</v>
          </cell>
          <cell r="D116" t="str">
            <v>10044076</v>
          </cell>
          <cell r="E116">
            <v>1</v>
          </cell>
        </row>
        <row r="117">
          <cell r="A117" t="str">
            <v>02685702</v>
          </cell>
          <cell r="B117">
            <v>20</v>
          </cell>
          <cell r="D117" t="str">
            <v>10053290</v>
          </cell>
          <cell r="E117">
            <v>1</v>
          </cell>
        </row>
        <row r="118">
          <cell r="A118" t="str">
            <v>02701173</v>
          </cell>
          <cell r="B118">
            <v>6</v>
          </cell>
          <cell r="D118" t="str">
            <v>10069610</v>
          </cell>
          <cell r="E118">
            <v>2</v>
          </cell>
        </row>
        <row r="119">
          <cell r="A119" t="str">
            <v>02708148</v>
          </cell>
          <cell r="B119">
            <v>85</v>
          </cell>
          <cell r="D119" t="str">
            <v>10085248</v>
          </cell>
          <cell r="E119">
            <v>1</v>
          </cell>
        </row>
        <row r="120">
          <cell r="A120" t="str">
            <v>02772059</v>
          </cell>
          <cell r="B120">
            <v>2</v>
          </cell>
          <cell r="D120" t="str">
            <v>10113963</v>
          </cell>
          <cell r="E120">
            <v>2</v>
          </cell>
        </row>
        <row r="121">
          <cell r="A121" t="str">
            <v>02777895</v>
          </cell>
          <cell r="B121">
            <v>36</v>
          </cell>
          <cell r="D121" t="str">
            <v>10150344</v>
          </cell>
          <cell r="E121">
            <v>2</v>
          </cell>
        </row>
        <row r="122">
          <cell r="A122" t="str">
            <v>02794742</v>
          </cell>
          <cell r="B122">
            <v>9</v>
          </cell>
          <cell r="D122" t="str">
            <v>10154017</v>
          </cell>
          <cell r="E122">
            <v>2</v>
          </cell>
        </row>
        <row r="123">
          <cell r="A123" t="str">
            <v>02797939</v>
          </cell>
          <cell r="B123">
            <v>16</v>
          </cell>
          <cell r="D123" t="str">
            <v>10169370</v>
          </cell>
          <cell r="E123">
            <v>1</v>
          </cell>
        </row>
        <row r="124">
          <cell r="A124" t="str">
            <v>02803597</v>
          </cell>
          <cell r="B124">
            <v>1</v>
          </cell>
          <cell r="D124" t="str">
            <v>10180033</v>
          </cell>
          <cell r="E124">
            <v>13</v>
          </cell>
        </row>
        <row r="125">
          <cell r="A125" t="str">
            <v>02813488</v>
          </cell>
          <cell r="B125">
            <v>90</v>
          </cell>
          <cell r="D125" t="str">
            <v>10184608</v>
          </cell>
          <cell r="E125">
            <v>1</v>
          </cell>
        </row>
        <row r="126">
          <cell r="A126" t="str">
            <v>02818533</v>
          </cell>
          <cell r="B126">
            <v>65</v>
          </cell>
          <cell r="D126" t="str">
            <v>10256706</v>
          </cell>
          <cell r="E126">
            <v>1</v>
          </cell>
        </row>
        <row r="127">
          <cell r="A127" t="str">
            <v>02822279</v>
          </cell>
          <cell r="B127">
            <v>1</v>
          </cell>
          <cell r="D127" t="str">
            <v>10278049</v>
          </cell>
          <cell r="E127">
            <v>30</v>
          </cell>
        </row>
        <row r="128">
          <cell r="A128" t="str">
            <v>02824652</v>
          </cell>
          <cell r="B128">
            <v>10</v>
          </cell>
          <cell r="D128" t="str">
            <v>10349348</v>
          </cell>
          <cell r="E128">
            <v>1</v>
          </cell>
        </row>
        <row r="129">
          <cell r="A129" t="str">
            <v>02827452</v>
          </cell>
          <cell r="B129">
            <v>15</v>
          </cell>
          <cell r="D129" t="str">
            <v>10381107</v>
          </cell>
          <cell r="E129">
            <v>2</v>
          </cell>
        </row>
        <row r="130">
          <cell r="A130" t="str">
            <v>02835608</v>
          </cell>
          <cell r="B130">
            <v>19</v>
          </cell>
          <cell r="D130" t="str">
            <v>10426383</v>
          </cell>
          <cell r="E130">
            <v>1</v>
          </cell>
        </row>
        <row r="131">
          <cell r="A131" t="str">
            <v>02853466</v>
          </cell>
          <cell r="B131">
            <v>17</v>
          </cell>
          <cell r="D131" t="str">
            <v>10503101</v>
          </cell>
          <cell r="E131">
            <v>1</v>
          </cell>
        </row>
        <row r="132">
          <cell r="A132" t="str">
            <v>02855644</v>
          </cell>
          <cell r="B132">
            <v>13</v>
          </cell>
          <cell r="D132" t="str">
            <v>10525085</v>
          </cell>
          <cell r="E132">
            <v>2</v>
          </cell>
        </row>
        <row r="133">
          <cell r="A133" t="str">
            <v>02855864</v>
          </cell>
          <cell r="B133">
            <v>6</v>
          </cell>
          <cell r="D133" t="str">
            <v>10528909</v>
          </cell>
          <cell r="E133">
            <v>1</v>
          </cell>
        </row>
        <row r="134">
          <cell r="A134" t="str">
            <v>02855954</v>
          </cell>
          <cell r="B134">
            <v>2</v>
          </cell>
          <cell r="D134" t="str">
            <v>10625450</v>
          </cell>
          <cell r="E134">
            <v>2</v>
          </cell>
        </row>
        <row r="135">
          <cell r="A135" t="str">
            <v>02859296</v>
          </cell>
          <cell r="B135">
            <v>21</v>
          </cell>
          <cell r="D135" t="str">
            <v>10634898</v>
          </cell>
          <cell r="E135">
            <v>1</v>
          </cell>
        </row>
        <row r="136">
          <cell r="A136" t="str">
            <v>02862143</v>
          </cell>
          <cell r="B136">
            <v>4</v>
          </cell>
          <cell r="D136" t="str">
            <v>10637213</v>
          </cell>
          <cell r="E136">
            <v>1</v>
          </cell>
        </row>
        <row r="137">
          <cell r="A137" t="str">
            <v>02870784</v>
          </cell>
          <cell r="B137">
            <v>5</v>
          </cell>
          <cell r="D137" t="str">
            <v>10646050</v>
          </cell>
          <cell r="E137">
            <v>1</v>
          </cell>
        </row>
        <row r="138">
          <cell r="A138" t="str">
            <v>02874537</v>
          </cell>
          <cell r="B138">
            <v>18</v>
          </cell>
          <cell r="D138" t="str">
            <v>10650198</v>
          </cell>
          <cell r="E138">
            <v>1</v>
          </cell>
        </row>
        <row r="139">
          <cell r="A139" t="str">
            <v>02887702</v>
          </cell>
          <cell r="B139">
            <v>11</v>
          </cell>
          <cell r="D139" t="str">
            <v>10669835</v>
          </cell>
          <cell r="E139">
            <v>1</v>
          </cell>
        </row>
        <row r="140">
          <cell r="A140" t="str">
            <v>02887922</v>
          </cell>
          <cell r="B140">
            <v>5</v>
          </cell>
          <cell r="D140" t="str">
            <v>10739072</v>
          </cell>
          <cell r="E140">
            <v>1</v>
          </cell>
        </row>
        <row r="141">
          <cell r="A141" t="str">
            <v>02890365</v>
          </cell>
          <cell r="B141">
            <v>22</v>
          </cell>
          <cell r="D141" t="str">
            <v>10752503</v>
          </cell>
          <cell r="E141">
            <v>7</v>
          </cell>
        </row>
        <row r="142">
          <cell r="A142" t="str">
            <v>02894472</v>
          </cell>
          <cell r="B142">
            <v>3</v>
          </cell>
          <cell r="D142" t="str">
            <v>10756571</v>
          </cell>
          <cell r="E142">
            <v>2</v>
          </cell>
        </row>
        <row r="143">
          <cell r="A143" t="str">
            <v>02896089</v>
          </cell>
          <cell r="B143">
            <v>12</v>
          </cell>
          <cell r="D143" t="str">
            <v>10776941</v>
          </cell>
          <cell r="E143">
            <v>2</v>
          </cell>
        </row>
        <row r="144">
          <cell r="A144" t="str">
            <v>03116224</v>
          </cell>
          <cell r="B144">
            <v>3</v>
          </cell>
          <cell r="D144" t="str">
            <v>10788336</v>
          </cell>
          <cell r="E144">
            <v>1</v>
          </cell>
        </row>
        <row r="145">
          <cell r="A145" t="str">
            <v>03234751</v>
          </cell>
          <cell r="B145">
            <v>134</v>
          </cell>
          <cell r="D145" t="str">
            <v>10804656</v>
          </cell>
          <cell r="E145">
            <v>4</v>
          </cell>
        </row>
        <row r="146">
          <cell r="A146" t="str">
            <v>03240231</v>
          </cell>
          <cell r="B146">
            <v>3</v>
          </cell>
          <cell r="D146" t="str">
            <v>10810957</v>
          </cell>
          <cell r="E146">
            <v>1</v>
          </cell>
        </row>
        <row r="147">
          <cell r="A147" t="str">
            <v>03303209</v>
          </cell>
          <cell r="B147">
            <v>10</v>
          </cell>
          <cell r="D147" t="str">
            <v>10813856</v>
          </cell>
          <cell r="E147">
            <v>1</v>
          </cell>
        </row>
        <row r="148">
          <cell r="A148" t="str">
            <v>03366711</v>
          </cell>
          <cell r="B148">
            <v>13</v>
          </cell>
          <cell r="D148" t="str">
            <v>15448210</v>
          </cell>
          <cell r="E148">
            <v>6</v>
          </cell>
        </row>
        <row r="149">
          <cell r="A149" t="str">
            <v>03368591</v>
          </cell>
          <cell r="B149">
            <v>1</v>
          </cell>
          <cell r="D149" t="str">
            <v>15583887</v>
          </cell>
          <cell r="E149">
            <v>1</v>
          </cell>
        </row>
        <row r="150">
          <cell r="A150" t="str">
            <v>03376001</v>
          </cell>
          <cell r="B150">
            <v>10</v>
          </cell>
          <cell r="D150" t="str">
            <v>15649051</v>
          </cell>
          <cell r="E150">
            <v>6</v>
          </cell>
        </row>
        <row r="151">
          <cell r="A151" t="str">
            <v>03381495</v>
          </cell>
          <cell r="B151">
            <v>9</v>
          </cell>
          <cell r="D151" t="str">
            <v>15735573</v>
          </cell>
          <cell r="E151">
            <v>1</v>
          </cell>
        </row>
        <row r="152">
          <cell r="A152" t="str">
            <v>03385700</v>
          </cell>
          <cell r="B152">
            <v>18</v>
          </cell>
          <cell r="D152" t="str">
            <v>15745895</v>
          </cell>
          <cell r="E152">
            <v>4</v>
          </cell>
        </row>
        <row r="153">
          <cell r="A153" t="str">
            <v>03491966</v>
          </cell>
          <cell r="B153">
            <v>9</v>
          </cell>
          <cell r="D153" t="str">
            <v>15853177</v>
          </cell>
          <cell r="E153">
            <v>6</v>
          </cell>
        </row>
        <row r="154">
          <cell r="A154" t="str">
            <v>03496729</v>
          </cell>
          <cell r="B154">
            <v>4</v>
          </cell>
          <cell r="D154" t="str">
            <v>15856956</v>
          </cell>
          <cell r="E154">
            <v>1</v>
          </cell>
        </row>
        <row r="155">
          <cell r="A155" t="str">
            <v>03498206</v>
          </cell>
          <cell r="B155">
            <v>30</v>
          </cell>
          <cell r="D155" t="str">
            <v>15859784</v>
          </cell>
          <cell r="E155">
            <v>8</v>
          </cell>
        </row>
        <row r="156">
          <cell r="A156" t="str">
            <v>03498519</v>
          </cell>
          <cell r="B156">
            <v>2</v>
          </cell>
          <cell r="D156" t="str">
            <v>15859931</v>
          </cell>
          <cell r="E156">
            <v>1</v>
          </cell>
        </row>
        <row r="157">
          <cell r="A157" t="str">
            <v>03594149</v>
          </cell>
          <cell r="B157">
            <v>48</v>
          </cell>
          <cell r="D157" t="str">
            <v>15995966</v>
          </cell>
          <cell r="E157">
            <v>1</v>
          </cell>
        </row>
        <row r="158">
          <cell r="A158" t="str">
            <v>03643194</v>
          </cell>
          <cell r="B158">
            <v>11</v>
          </cell>
          <cell r="D158" t="str">
            <v>16153036</v>
          </cell>
          <cell r="E158">
            <v>16</v>
          </cell>
        </row>
        <row r="159">
          <cell r="A159" t="str">
            <v>03647372</v>
          </cell>
          <cell r="B159">
            <v>11</v>
          </cell>
          <cell r="D159" t="str">
            <v>16502909</v>
          </cell>
          <cell r="E159">
            <v>1</v>
          </cell>
        </row>
        <row r="160">
          <cell r="A160" t="str">
            <v>03656696</v>
          </cell>
          <cell r="B160">
            <v>13</v>
          </cell>
          <cell r="D160" t="str">
            <v>16631776</v>
          </cell>
          <cell r="E160">
            <v>1</v>
          </cell>
        </row>
        <row r="161">
          <cell r="A161" t="str">
            <v>03658303</v>
          </cell>
          <cell r="B161">
            <v>4</v>
          </cell>
          <cell r="D161" t="str">
            <v>16704400</v>
          </cell>
          <cell r="E161">
            <v>1</v>
          </cell>
        </row>
        <row r="162">
          <cell r="A162" t="str">
            <v>03660084</v>
          </cell>
          <cell r="B162">
            <v>7</v>
          </cell>
          <cell r="D162" t="str">
            <v>16714075</v>
          </cell>
          <cell r="E162">
            <v>3</v>
          </cell>
        </row>
        <row r="163">
          <cell r="A163" t="str">
            <v>03660636</v>
          </cell>
          <cell r="B163">
            <v>10</v>
          </cell>
          <cell r="D163" t="str">
            <v>16743689</v>
          </cell>
          <cell r="E163">
            <v>2</v>
          </cell>
        </row>
        <row r="164">
          <cell r="A164" t="str">
            <v>03668112</v>
          </cell>
          <cell r="B164">
            <v>1</v>
          </cell>
          <cell r="D164" t="str">
            <v>16772724</v>
          </cell>
          <cell r="E164">
            <v>1</v>
          </cell>
        </row>
        <row r="165">
          <cell r="A165" t="str">
            <v>03672289</v>
          </cell>
          <cell r="B165">
            <v>1</v>
          </cell>
          <cell r="D165" t="str">
            <v>17428343</v>
          </cell>
          <cell r="E165">
            <v>4</v>
          </cell>
        </row>
        <row r="166">
          <cell r="A166" t="str">
            <v>03676006</v>
          </cell>
          <cell r="B166">
            <v>2</v>
          </cell>
          <cell r="D166" t="str">
            <v>17435704</v>
          </cell>
          <cell r="E166">
            <v>1</v>
          </cell>
        </row>
        <row r="167">
          <cell r="A167" t="str">
            <v>03676220</v>
          </cell>
          <cell r="B167">
            <v>4</v>
          </cell>
          <cell r="D167" t="str">
            <v>17449514</v>
          </cell>
          <cell r="E167">
            <v>6</v>
          </cell>
        </row>
        <row r="168">
          <cell r="A168" t="str">
            <v>03684633</v>
          </cell>
          <cell r="B168">
            <v>8</v>
          </cell>
          <cell r="D168" t="str">
            <v>17558119</v>
          </cell>
          <cell r="E168">
            <v>1</v>
          </cell>
        </row>
        <row r="169">
          <cell r="A169" t="str">
            <v>03684673</v>
          </cell>
          <cell r="B169">
            <v>11</v>
          </cell>
          <cell r="D169" t="str">
            <v>17588886</v>
          </cell>
          <cell r="E169">
            <v>1</v>
          </cell>
        </row>
        <row r="170">
          <cell r="A170" t="str">
            <v>03688675</v>
          </cell>
          <cell r="B170">
            <v>5</v>
          </cell>
          <cell r="D170" t="str">
            <v>17596044</v>
          </cell>
          <cell r="E170">
            <v>1</v>
          </cell>
        </row>
        <row r="171">
          <cell r="A171" t="str">
            <v>03692175</v>
          </cell>
          <cell r="B171">
            <v>21</v>
          </cell>
          <cell r="D171" t="str">
            <v>17596688</v>
          </cell>
          <cell r="E171">
            <v>2</v>
          </cell>
        </row>
        <row r="172">
          <cell r="A172" t="str">
            <v>03694894</v>
          </cell>
          <cell r="B172">
            <v>22</v>
          </cell>
          <cell r="D172" t="str">
            <v>17930260</v>
          </cell>
          <cell r="E172">
            <v>5</v>
          </cell>
        </row>
        <row r="173">
          <cell r="A173" t="str">
            <v>03854711</v>
          </cell>
          <cell r="B173">
            <v>1</v>
          </cell>
          <cell r="D173" t="str">
            <v>18027613</v>
          </cell>
          <cell r="E173">
            <v>2</v>
          </cell>
        </row>
        <row r="174">
          <cell r="A174" t="str">
            <v>03859882</v>
          </cell>
          <cell r="B174">
            <v>8</v>
          </cell>
          <cell r="D174" t="str">
            <v>18071319</v>
          </cell>
          <cell r="E174">
            <v>4</v>
          </cell>
        </row>
        <row r="175">
          <cell r="A175" t="str">
            <v>03870464</v>
          </cell>
          <cell r="B175">
            <v>10</v>
          </cell>
          <cell r="D175" t="str">
            <v>18072932</v>
          </cell>
          <cell r="E175">
            <v>1</v>
          </cell>
        </row>
        <row r="176">
          <cell r="A176" t="str">
            <v>03882487</v>
          </cell>
          <cell r="B176">
            <v>134</v>
          </cell>
          <cell r="D176" t="str">
            <v>18078556</v>
          </cell>
          <cell r="E176">
            <v>1</v>
          </cell>
        </row>
        <row r="177">
          <cell r="A177" t="str">
            <v>03891933</v>
          </cell>
          <cell r="B177">
            <v>13</v>
          </cell>
          <cell r="D177" t="str">
            <v>18107113</v>
          </cell>
          <cell r="E177">
            <v>2</v>
          </cell>
        </row>
        <row r="178">
          <cell r="A178" t="str">
            <v>04011408</v>
          </cell>
          <cell r="B178">
            <v>6</v>
          </cell>
          <cell r="D178" t="str">
            <v>18133060</v>
          </cell>
          <cell r="E178">
            <v>3</v>
          </cell>
        </row>
        <row r="179">
          <cell r="A179" t="str">
            <v>04069441</v>
          </cell>
          <cell r="B179">
            <v>51</v>
          </cell>
          <cell r="D179" t="str">
            <v>18142910</v>
          </cell>
          <cell r="E179">
            <v>1</v>
          </cell>
        </row>
        <row r="180">
          <cell r="A180" t="str">
            <v>04074302</v>
          </cell>
          <cell r="B180">
            <v>1</v>
          </cell>
          <cell r="D180" t="str">
            <v>18153028</v>
          </cell>
          <cell r="E180">
            <v>1</v>
          </cell>
        </row>
        <row r="181">
          <cell r="A181" t="str">
            <v>04078105</v>
          </cell>
          <cell r="B181">
            <v>5</v>
          </cell>
          <cell r="D181" t="str">
            <v>18187397</v>
          </cell>
          <cell r="E181">
            <v>2</v>
          </cell>
        </row>
        <row r="182">
          <cell r="A182" t="str">
            <v>04205803</v>
          </cell>
          <cell r="B182">
            <v>14</v>
          </cell>
          <cell r="D182" t="str">
            <v>18202011</v>
          </cell>
          <cell r="E182">
            <v>2</v>
          </cell>
        </row>
        <row r="183">
          <cell r="A183" t="str">
            <v>04220884</v>
          </cell>
          <cell r="B183">
            <v>24</v>
          </cell>
          <cell r="D183" t="str">
            <v>18210033</v>
          </cell>
          <cell r="E183">
            <v>2</v>
          </cell>
        </row>
        <row r="184">
          <cell r="A184" t="str">
            <v>04221408</v>
          </cell>
          <cell r="B184">
            <v>2</v>
          </cell>
          <cell r="D184" t="str">
            <v>18216655</v>
          </cell>
          <cell r="E184">
            <v>5</v>
          </cell>
        </row>
        <row r="185">
          <cell r="A185" t="str">
            <v>04221449</v>
          </cell>
          <cell r="B185">
            <v>1</v>
          </cell>
          <cell r="D185" t="str">
            <v>18827867</v>
          </cell>
          <cell r="E185">
            <v>1</v>
          </cell>
        </row>
        <row r="186">
          <cell r="A186" t="str">
            <v>04306767</v>
          </cell>
          <cell r="B186">
            <v>9</v>
          </cell>
          <cell r="D186" t="str">
            <v>18877415</v>
          </cell>
          <cell r="E186">
            <v>1</v>
          </cell>
        </row>
        <row r="187">
          <cell r="A187" t="str">
            <v>04352058</v>
          </cell>
          <cell r="B187">
            <v>18</v>
          </cell>
          <cell r="D187" t="str">
            <v>18887778</v>
          </cell>
          <cell r="E187">
            <v>1</v>
          </cell>
        </row>
        <row r="188">
          <cell r="A188" t="str">
            <v>04407664</v>
          </cell>
          <cell r="B188">
            <v>11</v>
          </cell>
          <cell r="D188" t="str">
            <v>18906465</v>
          </cell>
          <cell r="E188">
            <v>2</v>
          </cell>
        </row>
        <row r="189">
          <cell r="A189" t="str">
            <v>04418563</v>
          </cell>
          <cell r="B189">
            <v>2</v>
          </cell>
          <cell r="D189" t="str">
            <v>19100079</v>
          </cell>
          <cell r="E189">
            <v>2</v>
          </cell>
        </row>
        <row r="190">
          <cell r="A190" t="str">
            <v>04437563</v>
          </cell>
          <cell r="B190">
            <v>2</v>
          </cell>
          <cell r="D190" t="str">
            <v>19211621</v>
          </cell>
          <cell r="E190">
            <v>8</v>
          </cell>
        </row>
        <row r="191">
          <cell r="A191" t="str">
            <v>04646695</v>
          </cell>
          <cell r="B191">
            <v>2</v>
          </cell>
          <cell r="D191" t="str">
            <v>19337867</v>
          </cell>
          <cell r="E191">
            <v>6</v>
          </cell>
        </row>
        <row r="192">
          <cell r="A192" t="str">
            <v>04653282</v>
          </cell>
          <cell r="B192">
            <v>15</v>
          </cell>
          <cell r="D192" t="str">
            <v>19569561</v>
          </cell>
          <cell r="E192">
            <v>1</v>
          </cell>
        </row>
        <row r="193">
          <cell r="A193" t="str">
            <v>04743051</v>
          </cell>
          <cell r="B193">
            <v>1</v>
          </cell>
          <cell r="D193" t="str">
            <v>19805543</v>
          </cell>
          <cell r="E193">
            <v>3</v>
          </cell>
        </row>
        <row r="194">
          <cell r="A194" t="str">
            <v>04748858</v>
          </cell>
          <cell r="B194">
            <v>13</v>
          </cell>
          <cell r="D194" t="str">
            <v>19898264</v>
          </cell>
          <cell r="E194">
            <v>4</v>
          </cell>
        </row>
        <row r="195">
          <cell r="A195" t="str">
            <v>04749730</v>
          </cell>
          <cell r="B195">
            <v>4</v>
          </cell>
          <cell r="D195" t="str">
            <v>20026437</v>
          </cell>
          <cell r="E195">
            <v>1</v>
          </cell>
        </row>
        <row r="196">
          <cell r="A196" t="str">
            <v>05228551</v>
          </cell>
          <cell r="B196">
            <v>1</v>
          </cell>
          <cell r="D196" t="str">
            <v>20030820</v>
          </cell>
          <cell r="E196">
            <v>5</v>
          </cell>
        </row>
        <row r="197">
          <cell r="A197" t="str">
            <v>05281721</v>
          </cell>
          <cell r="B197">
            <v>3</v>
          </cell>
          <cell r="D197" t="str">
            <v>20045283</v>
          </cell>
          <cell r="E197">
            <v>6</v>
          </cell>
        </row>
        <row r="198">
          <cell r="A198" t="str">
            <v>05311451</v>
          </cell>
          <cell r="B198">
            <v>12</v>
          </cell>
          <cell r="D198" t="str">
            <v>20068374</v>
          </cell>
          <cell r="E198">
            <v>14</v>
          </cell>
        </row>
        <row r="199">
          <cell r="A199" t="str">
            <v>05325223</v>
          </cell>
          <cell r="B199">
            <v>3</v>
          </cell>
          <cell r="D199" t="str">
            <v>20071886</v>
          </cell>
          <cell r="E199">
            <v>7</v>
          </cell>
        </row>
        <row r="200">
          <cell r="A200" t="str">
            <v>05332673</v>
          </cell>
          <cell r="B200">
            <v>4</v>
          </cell>
          <cell r="D200" t="str">
            <v>20083302</v>
          </cell>
          <cell r="E200">
            <v>2</v>
          </cell>
        </row>
        <row r="201">
          <cell r="A201" t="str">
            <v>05333593</v>
          </cell>
          <cell r="B201">
            <v>53</v>
          </cell>
          <cell r="D201" t="str">
            <v>20436246</v>
          </cell>
          <cell r="E201">
            <v>1</v>
          </cell>
        </row>
        <row r="202">
          <cell r="A202" t="str">
            <v>05338695</v>
          </cell>
          <cell r="B202">
            <v>6</v>
          </cell>
          <cell r="D202" t="str">
            <v>20555944</v>
          </cell>
          <cell r="E202">
            <v>1</v>
          </cell>
        </row>
        <row r="203">
          <cell r="A203" t="str">
            <v>05347923</v>
          </cell>
          <cell r="B203">
            <v>2</v>
          </cell>
          <cell r="D203" t="str">
            <v>20566025</v>
          </cell>
          <cell r="E203">
            <v>1</v>
          </cell>
        </row>
        <row r="204">
          <cell r="A204" t="str">
            <v>05376742</v>
          </cell>
          <cell r="B204">
            <v>45</v>
          </cell>
          <cell r="D204" t="str">
            <v>20573687</v>
          </cell>
          <cell r="E204">
            <v>2</v>
          </cell>
        </row>
        <row r="205">
          <cell r="A205" t="str">
            <v>05407454</v>
          </cell>
          <cell r="B205">
            <v>6</v>
          </cell>
          <cell r="D205" t="str">
            <v>20595038</v>
          </cell>
          <cell r="E205">
            <v>1</v>
          </cell>
        </row>
        <row r="206">
          <cell r="A206" t="str">
            <v>05626111</v>
          </cell>
          <cell r="B206">
            <v>8</v>
          </cell>
          <cell r="D206" t="str">
            <v>20671092</v>
          </cell>
          <cell r="E206">
            <v>3</v>
          </cell>
        </row>
        <row r="207">
          <cell r="A207" t="str">
            <v>05632773</v>
          </cell>
          <cell r="B207">
            <v>5</v>
          </cell>
          <cell r="D207" t="str">
            <v>21085788</v>
          </cell>
          <cell r="E207">
            <v>13</v>
          </cell>
        </row>
        <row r="208">
          <cell r="A208" t="str">
            <v>05642400</v>
          </cell>
          <cell r="B208">
            <v>3</v>
          </cell>
          <cell r="D208" t="str">
            <v>21116434</v>
          </cell>
          <cell r="E208">
            <v>1</v>
          </cell>
        </row>
        <row r="209">
          <cell r="A209" t="str">
            <v>05956872</v>
          </cell>
          <cell r="B209">
            <v>6</v>
          </cell>
          <cell r="D209" t="str">
            <v>21120224</v>
          </cell>
          <cell r="E209">
            <v>2</v>
          </cell>
        </row>
        <row r="210">
          <cell r="A210" t="str">
            <v>06124453</v>
          </cell>
          <cell r="B210">
            <v>4</v>
          </cell>
          <cell r="D210" t="str">
            <v>21133951</v>
          </cell>
          <cell r="E210">
            <v>1</v>
          </cell>
        </row>
        <row r="211">
          <cell r="A211" t="str">
            <v>06448210</v>
          </cell>
          <cell r="B211">
            <v>20</v>
          </cell>
          <cell r="D211" t="str">
            <v>21421368</v>
          </cell>
          <cell r="E211">
            <v>29</v>
          </cell>
        </row>
        <row r="212">
          <cell r="A212" t="str">
            <v>06546715</v>
          </cell>
          <cell r="B212">
            <v>14</v>
          </cell>
          <cell r="D212" t="str">
            <v>21463317</v>
          </cell>
          <cell r="E212">
            <v>1</v>
          </cell>
        </row>
        <row r="213">
          <cell r="A213" t="str">
            <v>06661796</v>
          </cell>
          <cell r="B213">
            <v>10</v>
          </cell>
          <cell r="D213" t="str">
            <v>21483867</v>
          </cell>
          <cell r="E213">
            <v>2</v>
          </cell>
        </row>
        <row r="214">
          <cell r="A214" t="str">
            <v>06688218</v>
          </cell>
          <cell r="B214">
            <v>64</v>
          </cell>
          <cell r="D214" t="str">
            <v>21520760</v>
          </cell>
          <cell r="E214">
            <v>13</v>
          </cell>
        </row>
        <row r="215">
          <cell r="A215" t="str">
            <v>06759382</v>
          </cell>
          <cell r="B215">
            <v>7</v>
          </cell>
          <cell r="D215" t="str">
            <v>21571383</v>
          </cell>
          <cell r="E215">
            <v>1</v>
          </cell>
        </row>
        <row r="216">
          <cell r="A216" t="str">
            <v>06771700</v>
          </cell>
          <cell r="B216">
            <v>13</v>
          </cell>
          <cell r="D216" t="str">
            <v>21574900</v>
          </cell>
          <cell r="E216">
            <v>8</v>
          </cell>
        </row>
        <row r="217">
          <cell r="A217" t="str">
            <v>06776937</v>
          </cell>
          <cell r="B217">
            <v>4</v>
          </cell>
          <cell r="D217" t="str">
            <v>21575453</v>
          </cell>
          <cell r="E217">
            <v>2</v>
          </cell>
        </row>
        <row r="218">
          <cell r="A218" t="str">
            <v>06804817</v>
          </cell>
          <cell r="B218">
            <v>5</v>
          </cell>
          <cell r="D218" t="str">
            <v>21824689</v>
          </cell>
          <cell r="E218">
            <v>1</v>
          </cell>
        </row>
        <row r="219">
          <cell r="A219" t="str">
            <v>06804849</v>
          </cell>
          <cell r="B219">
            <v>4</v>
          </cell>
          <cell r="D219" t="str">
            <v>21846342</v>
          </cell>
          <cell r="E219">
            <v>1</v>
          </cell>
        </row>
        <row r="220">
          <cell r="A220" t="str">
            <v>06814699</v>
          </cell>
          <cell r="B220">
            <v>1</v>
          </cell>
          <cell r="D220" t="str">
            <v>21857619</v>
          </cell>
          <cell r="E220">
            <v>1</v>
          </cell>
        </row>
        <row r="221">
          <cell r="A221" t="str">
            <v>06820312</v>
          </cell>
          <cell r="B221">
            <v>3</v>
          </cell>
          <cell r="D221" t="str">
            <v>21867327</v>
          </cell>
          <cell r="E221">
            <v>4</v>
          </cell>
        </row>
        <row r="222">
          <cell r="A222" t="str">
            <v>06837629</v>
          </cell>
          <cell r="B222">
            <v>74</v>
          </cell>
          <cell r="D222" t="str">
            <v>22097905</v>
          </cell>
          <cell r="E222">
            <v>2</v>
          </cell>
        </row>
        <row r="223">
          <cell r="A223" t="str">
            <v>06886798</v>
          </cell>
          <cell r="B223">
            <v>23</v>
          </cell>
          <cell r="D223" t="str">
            <v>22100861</v>
          </cell>
          <cell r="E223">
            <v>2</v>
          </cell>
        </row>
        <row r="224">
          <cell r="A224" t="str">
            <v>06917907</v>
          </cell>
          <cell r="B224">
            <v>18</v>
          </cell>
          <cell r="D224" t="str">
            <v>22291071</v>
          </cell>
          <cell r="E224">
            <v>1</v>
          </cell>
        </row>
        <row r="225">
          <cell r="A225" t="str">
            <v>06919008</v>
          </cell>
          <cell r="B225">
            <v>18</v>
          </cell>
          <cell r="D225" t="str">
            <v>22423710</v>
          </cell>
          <cell r="E225">
            <v>1</v>
          </cell>
        </row>
        <row r="226">
          <cell r="A226" t="str">
            <v>07081927</v>
          </cell>
          <cell r="B226">
            <v>2</v>
          </cell>
          <cell r="D226" t="str">
            <v>22494778</v>
          </cell>
          <cell r="E226">
            <v>1</v>
          </cell>
        </row>
        <row r="227">
          <cell r="A227" t="str">
            <v>07095892</v>
          </cell>
          <cell r="B227">
            <v>3</v>
          </cell>
          <cell r="D227" t="str">
            <v>22758152</v>
          </cell>
          <cell r="E227">
            <v>4</v>
          </cell>
        </row>
        <row r="228">
          <cell r="A228" t="str">
            <v>07133017</v>
          </cell>
          <cell r="B228">
            <v>8</v>
          </cell>
          <cell r="D228" t="str">
            <v>22974922</v>
          </cell>
          <cell r="E228">
            <v>2</v>
          </cell>
        </row>
        <row r="229">
          <cell r="A229" t="str">
            <v>07142131</v>
          </cell>
          <cell r="B229">
            <v>9</v>
          </cell>
          <cell r="D229" t="str">
            <v>23011339</v>
          </cell>
          <cell r="E229">
            <v>2</v>
          </cell>
        </row>
        <row r="230">
          <cell r="A230" t="str">
            <v>07257287</v>
          </cell>
          <cell r="B230">
            <v>9</v>
          </cell>
          <cell r="D230" t="str">
            <v>23012190</v>
          </cell>
          <cell r="E230">
            <v>1</v>
          </cell>
        </row>
        <row r="231">
          <cell r="A231" t="str">
            <v>07263459</v>
          </cell>
          <cell r="B231">
            <v>8</v>
          </cell>
          <cell r="D231" t="str">
            <v>23085818</v>
          </cell>
          <cell r="E231">
            <v>6</v>
          </cell>
        </row>
        <row r="232">
          <cell r="A232" t="str">
            <v>07399784</v>
          </cell>
          <cell r="B232">
            <v>6</v>
          </cell>
          <cell r="D232" t="str">
            <v>23270510</v>
          </cell>
          <cell r="E232">
            <v>1</v>
          </cell>
        </row>
        <row r="233">
          <cell r="A233" t="str">
            <v>07445078</v>
          </cell>
          <cell r="B233">
            <v>2</v>
          </cell>
          <cell r="D233" t="str">
            <v>23466152</v>
          </cell>
          <cell r="E233">
            <v>1</v>
          </cell>
        </row>
        <row r="234">
          <cell r="A234" t="str">
            <v>07456941</v>
          </cell>
          <cell r="B234">
            <v>22</v>
          </cell>
          <cell r="D234" t="str">
            <v>23714262</v>
          </cell>
          <cell r="E234">
            <v>1</v>
          </cell>
        </row>
        <row r="235">
          <cell r="A235" t="str">
            <v>07477657</v>
          </cell>
          <cell r="B235">
            <v>21</v>
          </cell>
          <cell r="D235" t="str">
            <v>23885255</v>
          </cell>
          <cell r="E235">
            <v>1</v>
          </cell>
        </row>
        <row r="236">
          <cell r="A236" t="str">
            <v>07483765</v>
          </cell>
          <cell r="B236">
            <v>7</v>
          </cell>
          <cell r="D236" t="str">
            <v>23933220</v>
          </cell>
          <cell r="E236">
            <v>1</v>
          </cell>
        </row>
        <row r="237">
          <cell r="A237" t="str">
            <v>07494998</v>
          </cell>
          <cell r="B237">
            <v>7</v>
          </cell>
          <cell r="D237" t="str">
            <v>23958384</v>
          </cell>
          <cell r="E237">
            <v>1</v>
          </cell>
        </row>
        <row r="238">
          <cell r="A238" t="str">
            <v>07495790</v>
          </cell>
          <cell r="B238">
            <v>16</v>
          </cell>
          <cell r="D238" t="str">
            <v>23961991</v>
          </cell>
          <cell r="E238">
            <v>1</v>
          </cell>
        </row>
        <row r="239">
          <cell r="A239" t="str">
            <v>07498136</v>
          </cell>
          <cell r="B239">
            <v>1</v>
          </cell>
          <cell r="D239" t="str">
            <v>24367525</v>
          </cell>
          <cell r="E239">
            <v>2</v>
          </cell>
        </row>
        <row r="240">
          <cell r="A240" t="str">
            <v>07504602</v>
          </cell>
          <cell r="B240">
            <v>13</v>
          </cell>
          <cell r="D240" t="str">
            <v>24704712</v>
          </cell>
          <cell r="E240">
            <v>5</v>
          </cell>
        </row>
        <row r="241">
          <cell r="A241" t="str">
            <v>07517224</v>
          </cell>
          <cell r="B241">
            <v>4</v>
          </cell>
          <cell r="D241" t="str">
            <v>24718101</v>
          </cell>
          <cell r="E241">
            <v>14</v>
          </cell>
        </row>
        <row r="242">
          <cell r="A242" t="str">
            <v>07528823</v>
          </cell>
          <cell r="B242">
            <v>1</v>
          </cell>
          <cell r="D242" t="str">
            <v>25434757</v>
          </cell>
          <cell r="E242">
            <v>5</v>
          </cell>
        </row>
        <row r="243">
          <cell r="A243" t="str">
            <v>07531190</v>
          </cell>
          <cell r="B243">
            <v>8</v>
          </cell>
          <cell r="D243" t="str">
            <v>25683990</v>
          </cell>
          <cell r="E243">
            <v>1</v>
          </cell>
        </row>
        <row r="244">
          <cell r="A244" t="str">
            <v>07578967</v>
          </cell>
          <cell r="B244">
            <v>2</v>
          </cell>
          <cell r="D244" t="str">
            <v>25708263</v>
          </cell>
          <cell r="E244">
            <v>1</v>
          </cell>
        </row>
        <row r="245">
          <cell r="A245" t="str">
            <v>07621292</v>
          </cell>
          <cell r="B245">
            <v>14</v>
          </cell>
          <cell r="D245" t="str">
            <v>25755258</v>
          </cell>
          <cell r="E245">
            <v>4</v>
          </cell>
        </row>
        <row r="246">
          <cell r="A246" t="str">
            <v>07639149</v>
          </cell>
          <cell r="B246">
            <v>1</v>
          </cell>
          <cell r="D246" t="str">
            <v>25756870</v>
          </cell>
          <cell r="E246">
            <v>2</v>
          </cell>
        </row>
        <row r="247">
          <cell r="A247" t="str">
            <v>07644269</v>
          </cell>
          <cell r="B247">
            <v>4</v>
          </cell>
          <cell r="D247" t="str">
            <v>25847732</v>
          </cell>
          <cell r="E247">
            <v>1</v>
          </cell>
        </row>
        <row r="248">
          <cell r="A248" t="str">
            <v>07681878</v>
          </cell>
          <cell r="B248">
            <v>7</v>
          </cell>
          <cell r="D248" t="str">
            <v>25859054</v>
          </cell>
          <cell r="E248">
            <v>1</v>
          </cell>
        </row>
        <row r="249">
          <cell r="A249" t="str">
            <v>07738809</v>
          </cell>
          <cell r="B249">
            <v>8</v>
          </cell>
          <cell r="D249" t="str">
            <v>26728316</v>
          </cell>
          <cell r="E249">
            <v>1</v>
          </cell>
        </row>
        <row r="250">
          <cell r="A250" t="str">
            <v>07878690</v>
          </cell>
          <cell r="B250">
            <v>2</v>
          </cell>
          <cell r="D250" t="str">
            <v>27252327</v>
          </cell>
          <cell r="E250">
            <v>1</v>
          </cell>
        </row>
        <row r="251">
          <cell r="A251" t="str">
            <v>07971746</v>
          </cell>
          <cell r="B251">
            <v>7</v>
          </cell>
          <cell r="D251" t="str">
            <v>27269537</v>
          </cell>
          <cell r="E251">
            <v>4</v>
          </cell>
        </row>
        <row r="252">
          <cell r="A252" t="str">
            <v>08005405</v>
          </cell>
          <cell r="B252">
            <v>2</v>
          </cell>
          <cell r="D252" t="str">
            <v>27291798</v>
          </cell>
          <cell r="E252">
            <v>1</v>
          </cell>
        </row>
        <row r="253">
          <cell r="A253" t="str">
            <v>08066306</v>
          </cell>
          <cell r="B253">
            <v>4</v>
          </cell>
          <cell r="D253" t="str">
            <v>27422666</v>
          </cell>
          <cell r="E253">
            <v>4</v>
          </cell>
        </row>
        <row r="254">
          <cell r="A254" t="str">
            <v>08100605</v>
          </cell>
          <cell r="B254">
            <v>6</v>
          </cell>
          <cell r="D254" t="str">
            <v>27436485</v>
          </cell>
          <cell r="E254">
            <v>1</v>
          </cell>
        </row>
        <row r="255">
          <cell r="A255" t="str">
            <v>08113519</v>
          </cell>
          <cell r="B255">
            <v>9</v>
          </cell>
          <cell r="D255" t="str">
            <v>27577497</v>
          </cell>
          <cell r="E255">
            <v>1</v>
          </cell>
        </row>
        <row r="256">
          <cell r="A256" t="str">
            <v>08130127</v>
          </cell>
          <cell r="B256">
            <v>1</v>
          </cell>
          <cell r="D256" t="str">
            <v>27732424</v>
          </cell>
          <cell r="E256">
            <v>2</v>
          </cell>
        </row>
        <row r="257">
          <cell r="A257" t="str">
            <v>08144595</v>
          </cell>
          <cell r="B257">
            <v>11</v>
          </cell>
          <cell r="D257" t="str">
            <v>27861646</v>
          </cell>
          <cell r="E257">
            <v>1</v>
          </cell>
        </row>
        <row r="258">
          <cell r="A258" t="str">
            <v>08154242</v>
          </cell>
          <cell r="B258">
            <v>5</v>
          </cell>
          <cell r="D258" t="str">
            <v>27928140</v>
          </cell>
          <cell r="E258">
            <v>6</v>
          </cell>
        </row>
        <row r="259">
          <cell r="A259" t="str">
            <v>08159774</v>
          </cell>
          <cell r="B259">
            <v>25</v>
          </cell>
          <cell r="D259" t="str">
            <v>27990650</v>
          </cell>
          <cell r="E259">
            <v>4</v>
          </cell>
        </row>
        <row r="260">
          <cell r="A260" t="str">
            <v>08170036</v>
          </cell>
          <cell r="B260">
            <v>1</v>
          </cell>
          <cell r="D260" t="str">
            <v>28111681</v>
          </cell>
          <cell r="E260">
            <v>5</v>
          </cell>
        </row>
        <row r="261">
          <cell r="A261" t="str">
            <v>08173377</v>
          </cell>
          <cell r="B261">
            <v>6</v>
          </cell>
          <cell r="D261" t="str">
            <v>28294580</v>
          </cell>
          <cell r="E261">
            <v>1</v>
          </cell>
        </row>
        <row r="262">
          <cell r="A262" t="str">
            <v>08175534</v>
          </cell>
          <cell r="B262">
            <v>1</v>
          </cell>
          <cell r="D262" t="str">
            <v>28310578</v>
          </cell>
          <cell r="E262">
            <v>1</v>
          </cell>
        </row>
        <row r="263">
          <cell r="A263" t="str">
            <v>08176667</v>
          </cell>
          <cell r="B263">
            <v>3</v>
          </cell>
          <cell r="D263" t="str">
            <v>28314739</v>
          </cell>
          <cell r="E263">
            <v>5</v>
          </cell>
        </row>
        <row r="264">
          <cell r="A264" t="str">
            <v>08176715</v>
          </cell>
          <cell r="B264">
            <v>2</v>
          </cell>
          <cell r="D264" t="str">
            <v>28850841</v>
          </cell>
          <cell r="E264">
            <v>1</v>
          </cell>
        </row>
        <row r="265">
          <cell r="A265" t="str">
            <v>08274657</v>
          </cell>
          <cell r="B265">
            <v>1</v>
          </cell>
          <cell r="D265" t="str">
            <v>29298274</v>
          </cell>
          <cell r="E265">
            <v>3</v>
          </cell>
        </row>
        <row r="266">
          <cell r="A266" t="str">
            <v>08313736</v>
          </cell>
          <cell r="B266">
            <v>10</v>
          </cell>
          <cell r="D266" t="str">
            <v>29429890</v>
          </cell>
          <cell r="E266">
            <v>2</v>
          </cell>
        </row>
        <row r="267">
          <cell r="A267" t="str">
            <v>08315966</v>
          </cell>
          <cell r="B267">
            <v>7</v>
          </cell>
          <cell r="D267" t="str">
            <v>29447419</v>
          </cell>
          <cell r="E267">
            <v>7</v>
          </cell>
        </row>
        <row r="268">
          <cell r="A268" t="str">
            <v>08355361</v>
          </cell>
          <cell r="B268">
            <v>29</v>
          </cell>
          <cell r="D268" t="str">
            <v>29564099</v>
          </cell>
          <cell r="E268">
            <v>1</v>
          </cell>
        </row>
        <row r="269">
          <cell r="A269" t="str">
            <v>08374192</v>
          </cell>
          <cell r="B269">
            <v>11</v>
          </cell>
          <cell r="D269" t="str">
            <v>29576843</v>
          </cell>
          <cell r="E269">
            <v>1</v>
          </cell>
        </row>
        <row r="270">
          <cell r="A270" t="str">
            <v>08384550</v>
          </cell>
          <cell r="B270">
            <v>7</v>
          </cell>
          <cell r="D270" t="str">
            <v>29577339</v>
          </cell>
          <cell r="E270">
            <v>1</v>
          </cell>
        </row>
        <row r="271">
          <cell r="A271" t="str">
            <v>08451965</v>
          </cell>
          <cell r="B271">
            <v>6</v>
          </cell>
          <cell r="D271" t="str">
            <v>29586787</v>
          </cell>
          <cell r="E271">
            <v>7</v>
          </cell>
        </row>
        <row r="272">
          <cell r="A272" t="str">
            <v>08473452</v>
          </cell>
          <cell r="B272">
            <v>4</v>
          </cell>
          <cell r="D272" t="str">
            <v>29591387</v>
          </cell>
          <cell r="E272">
            <v>10</v>
          </cell>
        </row>
        <row r="273">
          <cell r="A273" t="str">
            <v>08527751</v>
          </cell>
          <cell r="B273">
            <v>134</v>
          </cell>
          <cell r="D273" t="str">
            <v>29594598</v>
          </cell>
          <cell r="E273">
            <v>1</v>
          </cell>
        </row>
        <row r="274">
          <cell r="A274" t="str">
            <v>08533253</v>
          </cell>
          <cell r="B274">
            <v>7</v>
          </cell>
          <cell r="D274" t="str">
            <v>29620248</v>
          </cell>
          <cell r="E274">
            <v>2</v>
          </cell>
        </row>
        <row r="275">
          <cell r="A275" t="str">
            <v>08539963</v>
          </cell>
          <cell r="B275">
            <v>4</v>
          </cell>
          <cell r="D275" t="str">
            <v>29646840</v>
          </cell>
          <cell r="E275">
            <v>5</v>
          </cell>
        </row>
        <row r="276">
          <cell r="A276" t="str">
            <v>08616084</v>
          </cell>
          <cell r="B276">
            <v>31</v>
          </cell>
          <cell r="D276" t="str">
            <v>29661855</v>
          </cell>
          <cell r="E276">
            <v>1</v>
          </cell>
        </row>
        <row r="277">
          <cell r="A277" t="str">
            <v>08619599</v>
          </cell>
          <cell r="B277">
            <v>102</v>
          </cell>
          <cell r="D277" t="str">
            <v>29686043</v>
          </cell>
          <cell r="E277">
            <v>2</v>
          </cell>
        </row>
        <row r="278">
          <cell r="A278" t="str">
            <v>08663370</v>
          </cell>
          <cell r="B278">
            <v>1</v>
          </cell>
          <cell r="D278" t="str">
            <v>32522169</v>
          </cell>
          <cell r="E278">
            <v>2</v>
          </cell>
        </row>
        <row r="279">
          <cell r="A279" t="str">
            <v>08667439</v>
          </cell>
          <cell r="B279">
            <v>20</v>
          </cell>
          <cell r="D279" t="str">
            <v>32612932</v>
          </cell>
          <cell r="E279">
            <v>1</v>
          </cell>
        </row>
        <row r="280">
          <cell r="A280" t="str">
            <v>08678997</v>
          </cell>
          <cell r="B280">
            <v>23</v>
          </cell>
          <cell r="D280" t="str">
            <v>32916999</v>
          </cell>
          <cell r="E280">
            <v>1</v>
          </cell>
        </row>
        <row r="281">
          <cell r="A281" t="str">
            <v>08694437</v>
          </cell>
          <cell r="B281">
            <v>3</v>
          </cell>
          <cell r="D281" t="str">
            <v>32961764</v>
          </cell>
          <cell r="E281">
            <v>4</v>
          </cell>
        </row>
        <row r="282">
          <cell r="A282" t="str">
            <v>08757867</v>
          </cell>
          <cell r="B282">
            <v>1</v>
          </cell>
          <cell r="D282" t="str">
            <v>32962449</v>
          </cell>
          <cell r="E282">
            <v>8</v>
          </cell>
        </row>
        <row r="283">
          <cell r="A283" t="str">
            <v>08759603</v>
          </cell>
          <cell r="B283">
            <v>3</v>
          </cell>
          <cell r="D283" t="str">
            <v>32963754</v>
          </cell>
          <cell r="E283">
            <v>1</v>
          </cell>
        </row>
        <row r="284">
          <cell r="A284" t="str">
            <v>08773656</v>
          </cell>
          <cell r="B284">
            <v>1</v>
          </cell>
          <cell r="D284" t="str">
            <v>33342821</v>
          </cell>
          <cell r="E284">
            <v>1</v>
          </cell>
        </row>
        <row r="285">
          <cell r="A285" t="str">
            <v>08810672</v>
          </cell>
          <cell r="B285">
            <v>6</v>
          </cell>
          <cell r="D285" t="str">
            <v>33733990</v>
          </cell>
          <cell r="E285">
            <v>3</v>
          </cell>
        </row>
        <row r="286">
          <cell r="A286" t="str">
            <v>08867382</v>
          </cell>
          <cell r="B286">
            <v>13</v>
          </cell>
          <cell r="D286" t="str">
            <v>33818678</v>
          </cell>
          <cell r="E286">
            <v>2</v>
          </cell>
        </row>
        <row r="287">
          <cell r="A287" t="str">
            <v>08871159</v>
          </cell>
          <cell r="B287">
            <v>3</v>
          </cell>
          <cell r="D287" t="str">
            <v>33945058</v>
          </cell>
          <cell r="E287">
            <v>3</v>
          </cell>
        </row>
        <row r="288">
          <cell r="A288" t="str">
            <v>08876781</v>
          </cell>
          <cell r="B288">
            <v>2</v>
          </cell>
          <cell r="D288" t="str">
            <v>40002236</v>
          </cell>
          <cell r="E288">
            <v>2</v>
          </cell>
        </row>
        <row r="289">
          <cell r="A289" t="str">
            <v>08885484</v>
          </cell>
          <cell r="B289">
            <v>47</v>
          </cell>
          <cell r="D289" t="str">
            <v>40013726</v>
          </cell>
          <cell r="E289">
            <v>1</v>
          </cell>
        </row>
        <row r="290">
          <cell r="A290" t="str">
            <v>08885736</v>
          </cell>
          <cell r="B290">
            <v>5</v>
          </cell>
          <cell r="D290" t="str">
            <v>40018552</v>
          </cell>
          <cell r="E290">
            <v>1</v>
          </cell>
        </row>
        <row r="291">
          <cell r="A291" t="str">
            <v>08889477</v>
          </cell>
          <cell r="B291">
            <v>3</v>
          </cell>
          <cell r="D291" t="str">
            <v>40041612</v>
          </cell>
          <cell r="E291">
            <v>5</v>
          </cell>
        </row>
        <row r="292">
          <cell r="A292" t="str">
            <v>08956437</v>
          </cell>
          <cell r="B292">
            <v>4</v>
          </cell>
          <cell r="D292" t="str">
            <v>40053567</v>
          </cell>
          <cell r="E292">
            <v>1</v>
          </cell>
        </row>
        <row r="293">
          <cell r="A293" t="str">
            <v>09003929</v>
          </cell>
          <cell r="B293">
            <v>8</v>
          </cell>
          <cell r="D293" t="str">
            <v>40102585</v>
          </cell>
          <cell r="E293">
            <v>5</v>
          </cell>
        </row>
        <row r="294">
          <cell r="A294" t="str">
            <v>09024297</v>
          </cell>
          <cell r="B294">
            <v>1</v>
          </cell>
          <cell r="D294" t="str">
            <v>40133973</v>
          </cell>
          <cell r="E294">
            <v>2</v>
          </cell>
        </row>
        <row r="295">
          <cell r="A295" t="str">
            <v>09028954</v>
          </cell>
          <cell r="B295">
            <v>1</v>
          </cell>
          <cell r="D295" t="str">
            <v>40144003</v>
          </cell>
          <cell r="E295">
            <v>1</v>
          </cell>
        </row>
        <row r="296">
          <cell r="A296" t="str">
            <v>09040150</v>
          </cell>
          <cell r="B296">
            <v>20</v>
          </cell>
          <cell r="D296" t="str">
            <v>40165121</v>
          </cell>
          <cell r="E296">
            <v>1</v>
          </cell>
        </row>
        <row r="297">
          <cell r="A297" t="str">
            <v>09042722</v>
          </cell>
          <cell r="B297">
            <v>35</v>
          </cell>
          <cell r="D297" t="str">
            <v>40199518</v>
          </cell>
          <cell r="E297">
            <v>17</v>
          </cell>
        </row>
        <row r="298">
          <cell r="A298" t="str">
            <v>09049773</v>
          </cell>
          <cell r="B298">
            <v>21</v>
          </cell>
          <cell r="D298" t="str">
            <v>40209363</v>
          </cell>
          <cell r="E298">
            <v>1</v>
          </cell>
        </row>
        <row r="299">
          <cell r="A299" t="str">
            <v>09050208</v>
          </cell>
          <cell r="B299">
            <v>38</v>
          </cell>
          <cell r="D299" t="str">
            <v>40243603</v>
          </cell>
          <cell r="E299">
            <v>1</v>
          </cell>
        </row>
        <row r="300">
          <cell r="A300" t="str">
            <v>09108773</v>
          </cell>
          <cell r="B300">
            <v>8</v>
          </cell>
          <cell r="D300" t="str">
            <v>40264332</v>
          </cell>
          <cell r="E300">
            <v>1</v>
          </cell>
        </row>
        <row r="301">
          <cell r="A301" t="str">
            <v>09114864</v>
          </cell>
          <cell r="B301">
            <v>122</v>
          </cell>
          <cell r="D301" t="str">
            <v>40283004</v>
          </cell>
          <cell r="E301">
            <v>1</v>
          </cell>
        </row>
        <row r="302">
          <cell r="A302" t="str">
            <v>09134640</v>
          </cell>
          <cell r="B302">
            <v>6</v>
          </cell>
          <cell r="D302" t="str">
            <v>40286777</v>
          </cell>
          <cell r="E302">
            <v>2</v>
          </cell>
        </row>
        <row r="303">
          <cell r="A303" t="str">
            <v>09184860</v>
          </cell>
          <cell r="B303">
            <v>5</v>
          </cell>
          <cell r="D303" t="str">
            <v>40291961</v>
          </cell>
          <cell r="E303">
            <v>1</v>
          </cell>
        </row>
        <row r="304">
          <cell r="A304" t="str">
            <v>09189673</v>
          </cell>
          <cell r="B304">
            <v>2</v>
          </cell>
          <cell r="D304" t="str">
            <v>40307490</v>
          </cell>
          <cell r="E304">
            <v>1</v>
          </cell>
        </row>
        <row r="305">
          <cell r="A305" t="str">
            <v>09232347</v>
          </cell>
          <cell r="B305">
            <v>18</v>
          </cell>
          <cell r="D305" t="str">
            <v>40311745</v>
          </cell>
          <cell r="E305">
            <v>1</v>
          </cell>
        </row>
        <row r="306">
          <cell r="A306" t="str">
            <v>09239134</v>
          </cell>
          <cell r="B306">
            <v>47</v>
          </cell>
          <cell r="D306" t="str">
            <v>40325076</v>
          </cell>
          <cell r="E306">
            <v>1</v>
          </cell>
        </row>
        <row r="307">
          <cell r="A307" t="str">
            <v>09292945</v>
          </cell>
          <cell r="B307">
            <v>7</v>
          </cell>
          <cell r="D307" t="str">
            <v>40330851</v>
          </cell>
          <cell r="E307">
            <v>1</v>
          </cell>
        </row>
        <row r="308">
          <cell r="A308" t="str">
            <v>09293717</v>
          </cell>
          <cell r="B308">
            <v>1</v>
          </cell>
          <cell r="D308" t="str">
            <v>40346256</v>
          </cell>
          <cell r="E308">
            <v>4</v>
          </cell>
        </row>
        <row r="309">
          <cell r="A309" t="str">
            <v>09319430</v>
          </cell>
          <cell r="B309">
            <v>5</v>
          </cell>
          <cell r="D309" t="str">
            <v>40430395</v>
          </cell>
          <cell r="E309">
            <v>2</v>
          </cell>
        </row>
        <row r="310">
          <cell r="A310" t="str">
            <v>09340406</v>
          </cell>
          <cell r="B310">
            <v>4</v>
          </cell>
          <cell r="D310" t="str">
            <v>40439560</v>
          </cell>
          <cell r="E310">
            <v>2</v>
          </cell>
        </row>
        <row r="311">
          <cell r="A311" t="str">
            <v>09352826</v>
          </cell>
          <cell r="B311">
            <v>19</v>
          </cell>
          <cell r="D311" t="str">
            <v>40464456</v>
          </cell>
          <cell r="E311">
            <v>11</v>
          </cell>
        </row>
        <row r="312">
          <cell r="A312" t="str">
            <v>09355503</v>
          </cell>
          <cell r="B312">
            <v>15</v>
          </cell>
          <cell r="D312" t="str">
            <v>40479282</v>
          </cell>
          <cell r="E312">
            <v>1</v>
          </cell>
        </row>
        <row r="313">
          <cell r="A313" t="str">
            <v>09360814</v>
          </cell>
          <cell r="B313">
            <v>2</v>
          </cell>
          <cell r="D313" t="str">
            <v>40481139</v>
          </cell>
          <cell r="E313">
            <v>2</v>
          </cell>
        </row>
        <row r="314">
          <cell r="A314" t="str">
            <v>09372649</v>
          </cell>
          <cell r="B314">
            <v>18</v>
          </cell>
          <cell r="D314" t="str">
            <v>40488647</v>
          </cell>
          <cell r="E314">
            <v>1</v>
          </cell>
        </row>
        <row r="315">
          <cell r="A315" t="str">
            <v>09383160</v>
          </cell>
          <cell r="B315">
            <v>11</v>
          </cell>
          <cell r="D315" t="str">
            <v>40532146</v>
          </cell>
          <cell r="E315">
            <v>1</v>
          </cell>
        </row>
        <row r="316">
          <cell r="A316" t="str">
            <v>09402752</v>
          </cell>
          <cell r="B316">
            <v>22</v>
          </cell>
          <cell r="D316" t="str">
            <v>40545241</v>
          </cell>
          <cell r="E316">
            <v>1</v>
          </cell>
        </row>
        <row r="317">
          <cell r="A317" t="str">
            <v>09451249</v>
          </cell>
          <cell r="B317">
            <v>3</v>
          </cell>
          <cell r="D317" t="str">
            <v>40549772</v>
          </cell>
          <cell r="E317">
            <v>2</v>
          </cell>
        </row>
        <row r="318">
          <cell r="A318" t="str">
            <v>09497784</v>
          </cell>
          <cell r="B318">
            <v>23</v>
          </cell>
          <cell r="D318" t="str">
            <v>40577721</v>
          </cell>
          <cell r="E318">
            <v>1</v>
          </cell>
        </row>
        <row r="319">
          <cell r="A319" t="str">
            <v>09531484</v>
          </cell>
          <cell r="B319">
            <v>21</v>
          </cell>
          <cell r="D319" t="str">
            <v>40621258</v>
          </cell>
          <cell r="E319">
            <v>1</v>
          </cell>
        </row>
        <row r="320">
          <cell r="A320" t="str">
            <v>09532457</v>
          </cell>
          <cell r="B320">
            <v>8</v>
          </cell>
          <cell r="D320" t="str">
            <v>40630330</v>
          </cell>
          <cell r="E320">
            <v>1</v>
          </cell>
        </row>
        <row r="321">
          <cell r="A321" t="str">
            <v>09540085</v>
          </cell>
          <cell r="B321">
            <v>17</v>
          </cell>
          <cell r="D321" t="str">
            <v>40639491</v>
          </cell>
          <cell r="E321">
            <v>1</v>
          </cell>
        </row>
        <row r="322">
          <cell r="A322" t="str">
            <v>09579488</v>
          </cell>
          <cell r="B322">
            <v>20</v>
          </cell>
          <cell r="D322" t="str">
            <v>40656075</v>
          </cell>
          <cell r="E322">
            <v>2</v>
          </cell>
        </row>
        <row r="323">
          <cell r="A323" t="str">
            <v>09589059</v>
          </cell>
          <cell r="B323">
            <v>39</v>
          </cell>
          <cell r="D323" t="str">
            <v>40659760</v>
          </cell>
          <cell r="E323">
            <v>2</v>
          </cell>
        </row>
        <row r="324">
          <cell r="A324" t="str">
            <v>09589876</v>
          </cell>
          <cell r="B324">
            <v>13</v>
          </cell>
          <cell r="D324" t="str">
            <v>40674240</v>
          </cell>
          <cell r="E324">
            <v>1</v>
          </cell>
        </row>
        <row r="325">
          <cell r="A325" t="str">
            <v>09591386</v>
          </cell>
          <cell r="B325">
            <v>17</v>
          </cell>
          <cell r="D325" t="str">
            <v>40687294</v>
          </cell>
          <cell r="E325">
            <v>4</v>
          </cell>
        </row>
        <row r="326">
          <cell r="A326" t="str">
            <v>09592704</v>
          </cell>
          <cell r="B326">
            <v>3</v>
          </cell>
          <cell r="D326" t="str">
            <v>40697657</v>
          </cell>
          <cell r="E326">
            <v>7</v>
          </cell>
        </row>
        <row r="327">
          <cell r="A327" t="str">
            <v>09595485</v>
          </cell>
          <cell r="B327">
            <v>2</v>
          </cell>
          <cell r="D327" t="str">
            <v>40699744</v>
          </cell>
          <cell r="E327">
            <v>1</v>
          </cell>
        </row>
        <row r="328">
          <cell r="A328" t="str">
            <v>09618792</v>
          </cell>
          <cell r="B328">
            <v>4</v>
          </cell>
          <cell r="D328" t="str">
            <v>40713431</v>
          </cell>
          <cell r="E328">
            <v>2</v>
          </cell>
        </row>
        <row r="329">
          <cell r="A329" t="str">
            <v>09624853</v>
          </cell>
          <cell r="B329">
            <v>4</v>
          </cell>
          <cell r="D329" t="str">
            <v>40716033</v>
          </cell>
          <cell r="E329">
            <v>2</v>
          </cell>
        </row>
        <row r="330">
          <cell r="A330" t="str">
            <v>09645014</v>
          </cell>
          <cell r="B330">
            <v>13</v>
          </cell>
          <cell r="D330" t="str">
            <v>40751488</v>
          </cell>
          <cell r="E330">
            <v>12</v>
          </cell>
        </row>
        <row r="331">
          <cell r="A331" t="str">
            <v>09645470</v>
          </cell>
          <cell r="B331">
            <v>3</v>
          </cell>
          <cell r="D331" t="str">
            <v>40773121</v>
          </cell>
          <cell r="E331">
            <v>2</v>
          </cell>
        </row>
        <row r="332">
          <cell r="A332" t="str">
            <v>09656418</v>
          </cell>
          <cell r="B332">
            <v>26</v>
          </cell>
          <cell r="D332" t="str">
            <v>40782449</v>
          </cell>
          <cell r="E332">
            <v>2</v>
          </cell>
        </row>
        <row r="333">
          <cell r="A333" t="str">
            <v>09660500</v>
          </cell>
          <cell r="B333">
            <v>5</v>
          </cell>
          <cell r="D333" t="str">
            <v>40790601</v>
          </cell>
          <cell r="E333">
            <v>3</v>
          </cell>
        </row>
        <row r="334">
          <cell r="A334" t="str">
            <v>09663956</v>
          </cell>
          <cell r="B334">
            <v>24</v>
          </cell>
          <cell r="D334" t="str">
            <v>40827532</v>
          </cell>
          <cell r="E334">
            <v>3</v>
          </cell>
        </row>
        <row r="335">
          <cell r="A335" t="str">
            <v>09678723</v>
          </cell>
          <cell r="B335">
            <v>3</v>
          </cell>
          <cell r="D335" t="str">
            <v>40877008</v>
          </cell>
          <cell r="E335">
            <v>2</v>
          </cell>
        </row>
        <row r="336">
          <cell r="A336" t="str">
            <v>09680369</v>
          </cell>
          <cell r="B336">
            <v>4</v>
          </cell>
          <cell r="D336" t="str">
            <v>40882528</v>
          </cell>
          <cell r="E336">
            <v>16</v>
          </cell>
        </row>
        <row r="337">
          <cell r="A337" t="str">
            <v>09697092</v>
          </cell>
          <cell r="B337">
            <v>8</v>
          </cell>
          <cell r="D337" t="str">
            <v>40888083</v>
          </cell>
          <cell r="E337">
            <v>1</v>
          </cell>
        </row>
        <row r="338">
          <cell r="A338" t="str">
            <v>09703281</v>
          </cell>
          <cell r="B338">
            <v>6</v>
          </cell>
          <cell r="D338" t="str">
            <v>40896674</v>
          </cell>
          <cell r="E338">
            <v>2</v>
          </cell>
        </row>
        <row r="339">
          <cell r="A339" t="str">
            <v>09710424</v>
          </cell>
          <cell r="B339">
            <v>5</v>
          </cell>
          <cell r="D339" t="str">
            <v>40909134</v>
          </cell>
          <cell r="E339">
            <v>1</v>
          </cell>
        </row>
        <row r="340">
          <cell r="A340" t="str">
            <v>09711333</v>
          </cell>
          <cell r="B340">
            <v>12</v>
          </cell>
          <cell r="D340" t="str">
            <v>40917072</v>
          </cell>
          <cell r="E340">
            <v>1</v>
          </cell>
        </row>
        <row r="341">
          <cell r="A341" t="str">
            <v>09717331</v>
          </cell>
          <cell r="B341">
            <v>88</v>
          </cell>
          <cell r="D341" t="str">
            <v>40917230</v>
          </cell>
          <cell r="E341">
            <v>1</v>
          </cell>
        </row>
        <row r="342">
          <cell r="A342" t="str">
            <v>09717733</v>
          </cell>
          <cell r="B342">
            <v>6</v>
          </cell>
          <cell r="D342" t="str">
            <v>40927250</v>
          </cell>
          <cell r="E342">
            <v>1</v>
          </cell>
        </row>
        <row r="343">
          <cell r="A343" t="str">
            <v>09733973</v>
          </cell>
          <cell r="B343">
            <v>2</v>
          </cell>
          <cell r="D343" t="str">
            <v>40950703</v>
          </cell>
          <cell r="E343">
            <v>2</v>
          </cell>
        </row>
        <row r="344">
          <cell r="A344" t="str">
            <v>09734262</v>
          </cell>
          <cell r="B344">
            <v>2</v>
          </cell>
          <cell r="D344" t="str">
            <v>40972557</v>
          </cell>
          <cell r="E344">
            <v>1</v>
          </cell>
        </row>
        <row r="345">
          <cell r="A345" t="str">
            <v>09734286</v>
          </cell>
          <cell r="B345">
            <v>207</v>
          </cell>
          <cell r="D345" t="str">
            <v>40992221</v>
          </cell>
          <cell r="E345">
            <v>3</v>
          </cell>
        </row>
        <row r="346">
          <cell r="A346" t="str">
            <v>09743047</v>
          </cell>
          <cell r="B346">
            <v>1</v>
          </cell>
          <cell r="D346" t="str">
            <v>41001729</v>
          </cell>
          <cell r="E346">
            <v>2</v>
          </cell>
        </row>
        <row r="347">
          <cell r="A347" t="str">
            <v>09744199</v>
          </cell>
          <cell r="B347">
            <v>22</v>
          </cell>
          <cell r="D347" t="str">
            <v>41006591</v>
          </cell>
          <cell r="E347">
            <v>1</v>
          </cell>
        </row>
        <row r="348">
          <cell r="A348" t="str">
            <v>09756499</v>
          </cell>
          <cell r="B348">
            <v>1</v>
          </cell>
          <cell r="D348" t="str">
            <v>41021459</v>
          </cell>
          <cell r="E348">
            <v>1</v>
          </cell>
        </row>
        <row r="349">
          <cell r="A349" t="str">
            <v>09757921</v>
          </cell>
          <cell r="B349">
            <v>77</v>
          </cell>
          <cell r="D349" t="str">
            <v>41038390</v>
          </cell>
          <cell r="E349">
            <v>1</v>
          </cell>
        </row>
        <row r="350">
          <cell r="A350" t="str">
            <v>09759461</v>
          </cell>
          <cell r="B350">
            <v>5</v>
          </cell>
          <cell r="D350" t="str">
            <v>41043943</v>
          </cell>
          <cell r="E350">
            <v>1</v>
          </cell>
        </row>
        <row r="351">
          <cell r="A351" t="str">
            <v>09759962</v>
          </cell>
          <cell r="B351">
            <v>6</v>
          </cell>
          <cell r="D351" t="str">
            <v>41056050</v>
          </cell>
          <cell r="E351">
            <v>1</v>
          </cell>
        </row>
        <row r="352">
          <cell r="A352" t="str">
            <v>09763254</v>
          </cell>
          <cell r="B352">
            <v>13</v>
          </cell>
          <cell r="D352" t="str">
            <v>41061129</v>
          </cell>
          <cell r="E352">
            <v>1</v>
          </cell>
        </row>
        <row r="353">
          <cell r="A353" t="str">
            <v>09765400</v>
          </cell>
          <cell r="B353">
            <v>5</v>
          </cell>
          <cell r="D353" t="str">
            <v>41067013</v>
          </cell>
          <cell r="E353">
            <v>1</v>
          </cell>
        </row>
        <row r="354">
          <cell r="A354" t="str">
            <v>09771213</v>
          </cell>
          <cell r="B354">
            <v>6</v>
          </cell>
          <cell r="D354" t="str">
            <v>41074212</v>
          </cell>
          <cell r="E354">
            <v>1</v>
          </cell>
        </row>
        <row r="355">
          <cell r="A355" t="str">
            <v>09771502</v>
          </cell>
          <cell r="B355">
            <v>9</v>
          </cell>
          <cell r="D355" t="str">
            <v>41086110</v>
          </cell>
          <cell r="E355">
            <v>3</v>
          </cell>
        </row>
        <row r="356">
          <cell r="A356" t="str">
            <v>09781945</v>
          </cell>
          <cell r="B356">
            <v>6</v>
          </cell>
          <cell r="D356" t="str">
            <v>41088258</v>
          </cell>
          <cell r="E356">
            <v>2</v>
          </cell>
        </row>
        <row r="357">
          <cell r="A357" t="str">
            <v>09785453</v>
          </cell>
          <cell r="B357">
            <v>13</v>
          </cell>
          <cell r="D357" t="str">
            <v>41103330</v>
          </cell>
          <cell r="E357">
            <v>1</v>
          </cell>
        </row>
        <row r="358">
          <cell r="A358" t="str">
            <v>09799355</v>
          </cell>
          <cell r="B358">
            <v>10</v>
          </cell>
          <cell r="D358" t="str">
            <v>41119735</v>
          </cell>
          <cell r="E358">
            <v>7</v>
          </cell>
        </row>
        <row r="359">
          <cell r="A359" t="str">
            <v>09801129</v>
          </cell>
          <cell r="B359">
            <v>17</v>
          </cell>
          <cell r="D359" t="str">
            <v>41144354</v>
          </cell>
          <cell r="E359">
            <v>3</v>
          </cell>
        </row>
        <row r="360">
          <cell r="A360" t="str">
            <v>09802597</v>
          </cell>
          <cell r="B360">
            <v>44</v>
          </cell>
          <cell r="D360" t="str">
            <v>41156759</v>
          </cell>
          <cell r="E360">
            <v>1</v>
          </cell>
        </row>
        <row r="361">
          <cell r="A361" t="str">
            <v>09811877</v>
          </cell>
          <cell r="B361">
            <v>4</v>
          </cell>
          <cell r="D361" t="str">
            <v>41169937</v>
          </cell>
          <cell r="E361">
            <v>2</v>
          </cell>
        </row>
        <row r="362">
          <cell r="A362" t="str">
            <v>09827394</v>
          </cell>
          <cell r="B362">
            <v>9</v>
          </cell>
          <cell r="D362" t="str">
            <v>41190222</v>
          </cell>
          <cell r="E362">
            <v>12</v>
          </cell>
        </row>
        <row r="363">
          <cell r="A363" t="str">
            <v>09832694</v>
          </cell>
          <cell r="B363">
            <v>9</v>
          </cell>
          <cell r="D363" t="str">
            <v>41198990</v>
          </cell>
          <cell r="E363">
            <v>4</v>
          </cell>
        </row>
        <row r="364">
          <cell r="A364" t="str">
            <v>09843003</v>
          </cell>
          <cell r="B364">
            <v>2</v>
          </cell>
          <cell r="D364" t="str">
            <v>41220451</v>
          </cell>
          <cell r="E364">
            <v>8</v>
          </cell>
        </row>
        <row r="365">
          <cell r="A365" t="str">
            <v>09843441</v>
          </cell>
          <cell r="B365">
            <v>6</v>
          </cell>
          <cell r="D365" t="str">
            <v>41224519</v>
          </cell>
          <cell r="E365">
            <v>4</v>
          </cell>
        </row>
        <row r="366">
          <cell r="A366" t="str">
            <v>09844787</v>
          </cell>
          <cell r="B366">
            <v>2</v>
          </cell>
          <cell r="D366" t="str">
            <v>41238526</v>
          </cell>
          <cell r="E366">
            <v>4</v>
          </cell>
        </row>
        <row r="367">
          <cell r="A367" t="str">
            <v>09845307</v>
          </cell>
          <cell r="B367">
            <v>4</v>
          </cell>
          <cell r="D367" t="str">
            <v>41250604</v>
          </cell>
          <cell r="E367">
            <v>2</v>
          </cell>
        </row>
        <row r="368">
          <cell r="A368" t="str">
            <v>09859630</v>
          </cell>
          <cell r="B368">
            <v>6</v>
          </cell>
          <cell r="D368" t="str">
            <v>41252451</v>
          </cell>
          <cell r="E368">
            <v>1</v>
          </cell>
        </row>
        <row r="369">
          <cell r="A369" t="str">
            <v>09863067</v>
          </cell>
          <cell r="B369">
            <v>15</v>
          </cell>
          <cell r="D369" t="str">
            <v>41262518</v>
          </cell>
          <cell r="E369">
            <v>1</v>
          </cell>
        </row>
        <row r="370">
          <cell r="A370" t="str">
            <v>09885141</v>
          </cell>
          <cell r="B370">
            <v>4</v>
          </cell>
          <cell r="D370" t="str">
            <v>41268760</v>
          </cell>
          <cell r="E370">
            <v>2</v>
          </cell>
        </row>
        <row r="371">
          <cell r="A371" t="str">
            <v>09887620</v>
          </cell>
          <cell r="B371">
            <v>6</v>
          </cell>
          <cell r="D371" t="str">
            <v>41293717</v>
          </cell>
          <cell r="E371">
            <v>2</v>
          </cell>
        </row>
        <row r="372">
          <cell r="A372" t="str">
            <v>09892606</v>
          </cell>
          <cell r="B372">
            <v>5</v>
          </cell>
          <cell r="D372" t="str">
            <v>41326215</v>
          </cell>
          <cell r="E372">
            <v>1</v>
          </cell>
        </row>
        <row r="373">
          <cell r="A373" t="str">
            <v>09894483</v>
          </cell>
          <cell r="B373">
            <v>13</v>
          </cell>
          <cell r="D373" t="str">
            <v>41341350</v>
          </cell>
          <cell r="E373">
            <v>1</v>
          </cell>
        </row>
        <row r="374">
          <cell r="A374" t="str">
            <v>09898437</v>
          </cell>
          <cell r="B374">
            <v>2</v>
          </cell>
          <cell r="D374" t="str">
            <v>41354352</v>
          </cell>
          <cell r="E374">
            <v>1</v>
          </cell>
        </row>
        <row r="375">
          <cell r="A375" t="str">
            <v>09902034</v>
          </cell>
          <cell r="B375">
            <v>4</v>
          </cell>
          <cell r="D375" t="str">
            <v>41362435</v>
          </cell>
          <cell r="E375">
            <v>3</v>
          </cell>
        </row>
        <row r="376">
          <cell r="A376" t="str">
            <v>09904516</v>
          </cell>
          <cell r="B376">
            <v>1</v>
          </cell>
          <cell r="D376" t="str">
            <v>41369180</v>
          </cell>
          <cell r="E376">
            <v>7</v>
          </cell>
        </row>
        <row r="377">
          <cell r="A377" t="str">
            <v>09908808</v>
          </cell>
          <cell r="B377">
            <v>15</v>
          </cell>
          <cell r="D377" t="str">
            <v>41390412</v>
          </cell>
          <cell r="E377">
            <v>1</v>
          </cell>
        </row>
        <row r="378">
          <cell r="A378" t="str">
            <v>09915701</v>
          </cell>
          <cell r="B378">
            <v>3</v>
          </cell>
          <cell r="D378" t="str">
            <v>41404397</v>
          </cell>
          <cell r="E378">
            <v>2</v>
          </cell>
        </row>
        <row r="379">
          <cell r="A379" t="str">
            <v>09918438</v>
          </cell>
          <cell r="B379">
            <v>9</v>
          </cell>
          <cell r="D379" t="str">
            <v>41412342</v>
          </cell>
          <cell r="E379">
            <v>11</v>
          </cell>
        </row>
        <row r="380">
          <cell r="A380" t="str">
            <v>09922357</v>
          </cell>
          <cell r="B380">
            <v>1</v>
          </cell>
          <cell r="D380" t="str">
            <v>41472374</v>
          </cell>
          <cell r="E380">
            <v>3</v>
          </cell>
        </row>
        <row r="381">
          <cell r="A381" t="str">
            <v>09925445</v>
          </cell>
          <cell r="B381">
            <v>5</v>
          </cell>
          <cell r="D381" t="str">
            <v>41510738</v>
          </cell>
          <cell r="E381">
            <v>1</v>
          </cell>
        </row>
        <row r="382">
          <cell r="A382" t="str">
            <v>09929064</v>
          </cell>
          <cell r="B382">
            <v>2</v>
          </cell>
          <cell r="D382" t="str">
            <v>41518133</v>
          </cell>
          <cell r="E382">
            <v>1</v>
          </cell>
        </row>
        <row r="383">
          <cell r="A383" t="str">
            <v>09930446</v>
          </cell>
          <cell r="B383">
            <v>6</v>
          </cell>
          <cell r="D383" t="str">
            <v>41532559</v>
          </cell>
          <cell r="E383">
            <v>1</v>
          </cell>
        </row>
        <row r="384">
          <cell r="A384" t="str">
            <v>09938074</v>
          </cell>
          <cell r="B384">
            <v>20</v>
          </cell>
          <cell r="D384" t="str">
            <v>41538174</v>
          </cell>
          <cell r="E384">
            <v>1</v>
          </cell>
        </row>
        <row r="385">
          <cell r="A385" t="str">
            <v>09938783</v>
          </cell>
          <cell r="B385">
            <v>2</v>
          </cell>
          <cell r="D385" t="str">
            <v>41548914</v>
          </cell>
          <cell r="E385">
            <v>1</v>
          </cell>
        </row>
        <row r="386">
          <cell r="A386" t="str">
            <v>09940731</v>
          </cell>
          <cell r="B386">
            <v>39</v>
          </cell>
          <cell r="D386" t="str">
            <v>41555302</v>
          </cell>
          <cell r="E386">
            <v>2</v>
          </cell>
        </row>
        <row r="387">
          <cell r="A387" t="str">
            <v>09943983</v>
          </cell>
          <cell r="B387">
            <v>1</v>
          </cell>
          <cell r="D387" t="str">
            <v>41570275</v>
          </cell>
          <cell r="E387">
            <v>2</v>
          </cell>
        </row>
        <row r="388">
          <cell r="A388" t="str">
            <v>09944635</v>
          </cell>
          <cell r="B388">
            <v>46</v>
          </cell>
          <cell r="D388" t="str">
            <v>41570440</v>
          </cell>
          <cell r="E388">
            <v>2</v>
          </cell>
        </row>
        <row r="389">
          <cell r="A389" t="str">
            <v>09975235</v>
          </cell>
          <cell r="B389">
            <v>15</v>
          </cell>
          <cell r="D389" t="str">
            <v>41581401</v>
          </cell>
          <cell r="E389">
            <v>2</v>
          </cell>
        </row>
        <row r="390">
          <cell r="A390" t="str">
            <v>09982747</v>
          </cell>
          <cell r="B390">
            <v>11</v>
          </cell>
          <cell r="D390" t="str">
            <v>41586812</v>
          </cell>
          <cell r="E390">
            <v>2</v>
          </cell>
        </row>
        <row r="391">
          <cell r="A391" t="str">
            <v>09987120</v>
          </cell>
          <cell r="B391">
            <v>18</v>
          </cell>
          <cell r="D391" t="str">
            <v>41606306</v>
          </cell>
          <cell r="E391">
            <v>1</v>
          </cell>
        </row>
        <row r="392">
          <cell r="A392" t="str">
            <v>10001342</v>
          </cell>
          <cell r="B392">
            <v>14</v>
          </cell>
          <cell r="D392" t="str">
            <v>41629163</v>
          </cell>
          <cell r="E392">
            <v>2</v>
          </cell>
        </row>
        <row r="393">
          <cell r="A393" t="str">
            <v>10004493</v>
          </cell>
          <cell r="B393">
            <v>22</v>
          </cell>
          <cell r="D393" t="str">
            <v>41641167</v>
          </cell>
          <cell r="E393">
            <v>1</v>
          </cell>
        </row>
        <row r="394">
          <cell r="A394" t="str">
            <v>10026845</v>
          </cell>
          <cell r="B394">
            <v>7</v>
          </cell>
          <cell r="D394" t="str">
            <v>41645022</v>
          </cell>
          <cell r="E394">
            <v>1</v>
          </cell>
        </row>
        <row r="395">
          <cell r="A395" t="str">
            <v>10044076</v>
          </cell>
          <cell r="B395">
            <v>38</v>
          </cell>
          <cell r="D395" t="str">
            <v>41656604</v>
          </cell>
          <cell r="E395">
            <v>2</v>
          </cell>
        </row>
        <row r="396">
          <cell r="A396" t="str">
            <v>10052116</v>
          </cell>
          <cell r="B396">
            <v>4</v>
          </cell>
          <cell r="D396" t="str">
            <v>41660225</v>
          </cell>
          <cell r="E396">
            <v>1</v>
          </cell>
        </row>
        <row r="397">
          <cell r="A397" t="str">
            <v>10052750</v>
          </cell>
          <cell r="B397">
            <v>4</v>
          </cell>
          <cell r="D397" t="str">
            <v>41667506</v>
          </cell>
          <cell r="E397">
            <v>1</v>
          </cell>
        </row>
        <row r="398">
          <cell r="A398" t="str">
            <v>10053290</v>
          </cell>
          <cell r="B398">
            <v>7</v>
          </cell>
          <cell r="D398" t="str">
            <v>41667737</v>
          </cell>
          <cell r="E398">
            <v>16</v>
          </cell>
        </row>
        <row r="399">
          <cell r="A399" t="str">
            <v>10054071</v>
          </cell>
          <cell r="B399">
            <v>2</v>
          </cell>
          <cell r="D399" t="str">
            <v>41669254</v>
          </cell>
          <cell r="E399">
            <v>1</v>
          </cell>
        </row>
        <row r="400">
          <cell r="A400" t="str">
            <v>10069610</v>
          </cell>
          <cell r="B400">
            <v>57</v>
          </cell>
          <cell r="D400" t="str">
            <v>41701923</v>
          </cell>
          <cell r="E400">
            <v>3</v>
          </cell>
        </row>
        <row r="401">
          <cell r="A401" t="str">
            <v>10069630</v>
          </cell>
          <cell r="B401">
            <v>32</v>
          </cell>
          <cell r="D401" t="str">
            <v>41704421</v>
          </cell>
          <cell r="E401">
            <v>1</v>
          </cell>
        </row>
        <row r="402">
          <cell r="A402" t="str">
            <v>10076908</v>
          </cell>
          <cell r="B402">
            <v>13</v>
          </cell>
          <cell r="D402" t="str">
            <v>41705498</v>
          </cell>
          <cell r="E402">
            <v>2</v>
          </cell>
        </row>
        <row r="403">
          <cell r="A403" t="str">
            <v>10078672</v>
          </cell>
          <cell r="B403">
            <v>4</v>
          </cell>
          <cell r="D403" t="str">
            <v>41715346</v>
          </cell>
          <cell r="E403">
            <v>1</v>
          </cell>
        </row>
        <row r="404">
          <cell r="A404" t="str">
            <v>10092213</v>
          </cell>
          <cell r="B404">
            <v>12</v>
          </cell>
          <cell r="D404" t="str">
            <v>41719698</v>
          </cell>
          <cell r="E404">
            <v>2</v>
          </cell>
        </row>
        <row r="405">
          <cell r="A405" t="str">
            <v>10098484</v>
          </cell>
          <cell r="B405">
            <v>26</v>
          </cell>
          <cell r="D405" t="str">
            <v>41722964</v>
          </cell>
          <cell r="E405">
            <v>4</v>
          </cell>
        </row>
        <row r="406">
          <cell r="A406" t="str">
            <v>10111168</v>
          </cell>
          <cell r="B406">
            <v>9</v>
          </cell>
          <cell r="D406" t="str">
            <v>41730753</v>
          </cell>
          <cell r="E406">
            <v>4</v>
          </cell>
        </row>
        <row r="407">
          <cell r="A407" t="str">
            <v>10113261</v>
          </cell>
          <cell r="B407">
            <v>5</v>
          </cell>
          <cell r="D407" t="str">
            <v>41732273</v>
          </cell>
          <cell r="E407">
            <v>4</v>
          </cell>
        </row>
        <row r="408">
          <cell r="A408" t="str">
            <v>10113963</v>
          </cell>
          <cell r="B408">
            <v>16</v>
          </cell>
          <cell r="D408" t="str">
            <v>41757586</v>
          </cell>
          <cell r="E408">
            <v>1</v>
          </cell>
        </row>
        <row r="409">
          <cell r="A409" t="str">
            <v>10128070</v>
          </cell>
          <cell r="B409">
            <v>2</v>
          </cell>
          <cell r="D409" t="str">
            <v>41758501</v>
          </cell>
          <cell r="E409">
            <v>2</v>
          </cell>
        </row>
        <row r="410">
          <cell r="A410" t="str">
            <v>10128954</v>
          </cell>
          <cell r="B410">
            <v>1</v>
          </cell>
          <cell r="D410" t="str">
            <v>41759547</v>
          </cell>
          <cell r="E410">
            <v>1</v>
          </cell>
        </row>
        <row r="411">
          <cell r="A411" t="str">
            <v>10147345</v>
          </cell>
          <cell r="B411">
            <v>1</v>
          </cell>
          <cell r="D411" t="str">
            <v>41772284</v>
          </cell>
          <cell r="E411">
            <v>8</v>
          </cell>
        </row>
        <row r="412">
          <cell r="A412" t="str">
            <v>10150344</v>
          </cell>
          <cell r="B412">
            <v>20</v>
          </cell>
          <cell r="D412" t="str">
            <v>41780190</v>
          </cell>
          <cell r="E412">
            <v>1</v>
          </cell>
        </row>
        <row r="413">
          <cell r="A413" t="str">
            <v>10154017</v>
          </cell>
          <cell r="B413">
            <v>27</v>
          </cell>
          <cell r="D413" t="str">
            <v>41781516</v>
          </cell>
          <cell r="E413">
            <v>2</v>
          </cell>
        </row>
        <row r="414">
          <cell r="A414" t="str">
            <v>10162010</v>
          </cell>
          <cell r="B414">
            <v>30</v>
          </cell>
          <cell r="D414" t="str">
            <v>41786167</v>
          </cell>
          <cell r="E414">
            <v>1</v>
          </cell>
        </row>
        <row r="415">
          <cell r="A415" t="str">
            <v>10167884</v>
          </cell>
          <cell r="B415">
            <v>1</v>
          </cell>
          <cell r="D415" t="str">
            <v>41792522</v>
          </cell>
          <cell r="E415">
            <v>4</v>
          </cell>
        </row>
        <row r="416">
          <cell r="A416" t="str">
            <v>10169370</v>
          </cell>
          <cell r="B416">
            <v>9</v>
          </cell>
          <cell r="D416" t="str">
            <v>41806211</v>
          </cell>
          <cell r="E416">
            <v>1</v>
          </cell>
        </row>
        <row r="417">
          <cell r="A417" t="str">
            <v>10177862</v>
          </cell>
          <cell r="B417">
            <v>1</v>
          </cell>
          <cell r="D417" t="str">
            <v>41807267</v>
          </cell>
          <cell r="E417">
            <v>1</v>
          </cell>
        </row>
        <row r="418">
          <cell r="A418" t="str">
            <v>10180033</v>
          </cell>
          <cell r="B418">
            <v>77</v>
          </cell>
          <cell r="D418" t="str">
            <v>41812899</v>
          </cell>
          <cell r="E418">
            <v>3</v>
          </cell>
        </row>
        <row r="419">
          <cell r="A419" t="str">
            <v>10184608</v>
          </cell>
          <cell r="B419">
            <v>2</v>
          </cell>
          <cell r="D419" t="str">
            <v>41815592</v>
          </cell>
          <cell r="E419">
            <v>1</v>
          </cell>
        </row>
        <row r="420">
          <cell r="A420" t="str">
            <v>10188566</v>
          </cell>
          <cell r="B420">
            <v>6</v>
          </cell>
          <cell r="D420" t="str">
            <v>41828021</v>
          </cell>
          <cell r="E420">
            <v>2</v>
          </cell>
        </row>
        <row r="421">
          <cell r="A421" t="str">
            <v>10194778</v>
          </cell>
          <cell r="B421">
            <v>8</v>
          </cell>
          <cell r="D421" t="str">
            <v>41841548</v>
          </cell>
          <cell r="E421">
            <v>6</v>
          </cell>
        </row>
        <row r="422">
          <cell r="A422" t="str">
            <v>10196459</v>
          </cell>
          <cell r="B422">
            <v>4</v>
          </cell>
          <cell r="D422" t="str">
            <v>41845256</v>
          </cell>
          <cell r="E422">
            <v>1</v>
          </cell>
        </row>
        <row r="423">
          <cell r="A423" t="str">
            <v>10204739</v>
          </cell>
          <cell r="B423">
            <v>7</v>
          </cell>
          <cell r="D423" t="str">
            <v>41855429</v>
          </cell>
          <cell r="E423">
            <v>1</v>
          </cell>
        </row>
        <row r="424">
          <cell r="A424" t="str">
            <v>10215171</v>
          </cell>
          <cell r="B424">
            <v>1</v>
          </cell>
          <cell r="D424" t="str">
            <v>41884454</v>
          </cell>
          <cell r="E424">
            <v>2</v>
          </cell>
        </row>
        <row r="425">
          <cell r="A425" t="str">
            <v>10227289</v>
          </cell>
          <cell r="B425">
            <v>4</v>
          </cell>
          <cell r="D425" t="str">
            <v>41892185</v>
          </cell>
          <cell r="E425">
            <v>2</v>
          </cell>
        </row>
        <row r="426">
          <cell r="A426" t="str">
            <v>10230439</v>
          </cell>
          <cell r="B426">
            <v>4</v>
          </cell>
          <cell r="D426" t="str">
            <v>41916947</v>
          </cell>
          <cell r="E426">
            <v>2</v>
          </cell>
        </row>
        <row r="427">
          <cell r="A427" t="str">
            <v>10256706</v>
          </cell>
          <cell r="B427">
            <v>6</v>
          </cell>
          <cell r="D427" t="str">
            <v>41924370</v>
          </cell>
          <cell r="E427">
            <v>4</v>
          </cell>
        </row>
        <row r="428">
          <cell r="A428" t="str">
            <v>10260127</v>
          </cell>
          <cell r="B428">
            <v>7</v>
          </cell>
          <cell r="D428" t="str">
            <v>41925754</v>
          </cell>
          <cell r="E428">
            <v>1</v>
          </cell>
        </row>
        <row r="429">
          <cell r="A429" t="str">
            <v>10278049</v>
          </cell>
          <cell r="B429">
            <v>121</v>
          </cell>
          <cell r="D429" t="str">
            <v>41934582</v>
          </cell>
          <cell r="E429">
            <v>4</v>
          </cell>
        </row>
        <row r="430">
          <cell r="A430" t="str">
            <v>10292781</v>
          </cell>
          <cell r="B430">
            <v>4</v>
          </cell>
          <cell r="D430" t="str">
            <v>41950643</v>
          </cell>
          <cell r="E430">
            <v>1</v>
          </cell>
        </row>
        <row r="431">
          <cell r="A431" t="str">
            <v>10306739</v>
          </cell>
          <cell r="B431">
            <v>50</v>
          </cell>
          <cell r="D431" t="str">
            <v>41951654</v>
          </cell>
          <cell r="E431">
            <v>13</v>
          </cell>
        </row>
        <row r="432">
          <cell r="A432" t="str">
            <v>10307444</v>
          </cell>
          <cell r="B432">
            <v>2</v>
          </cell>
          <cell r="D432" t="str">
            <v>41961617</v>
          </cell>
          <cell r="E432">
            <v>1</v>
          </cell>
        </row>
        <row r="433">
          <cell r="A433" t="str">
            <v>10324391</v>
          </cell>
          <cell r="B433">
            <v>3</v>
          </cell>
          <cell r="D433" t="str">
            <v>41964881</v>
          </cell>
          <cell r="E433">
            <v>1</v>
          </cell>
        </row>
        <row r="434">
          <cell r="A434" t="str">
            <v>10334295</v>
          </cell>
          <cell r="B434">
            <v>1</v>
          </cell>
          <cell r="D434" t="str">
            <v>41971405</v>
          </cell>
          <cell r="E434">
            <v>1</v>
          </cell>
        </row>
        <row r="435">
          <cell r="A435" t="str">
            <v>10345727</v>
          </cell>
          <cell r="B435">
            <v>1</v>
          </cell>
          <cell r="D435" t="str">
            <v>41989032</v>
          </cell>
          <cell r="E435">
            <v>2</v>
          </cell>
        </row>
        <row r="436">
          <cell r="A436" t="str">
            <v>10349348</v>
          </cell>
          <cell r="B436">
            <v>37</v>
          </cell>
          <cell r="D436" t="str">
            <v>42009520</v>
          </cell>
          <cell r="E436">
            <v>1</v>
          </cell>
        </row>
        <row r="437">
          <cell r="A437" t="str">
            <v>10351087</v>
          </cell>
          <cell r="B437">
            <v>1</v>
          </cell>
          <cell r="D437" t="str">
            <v>42034491</v>
          </cell>
          <cell r="E437">
            <v>1</v>
          </cell>
        </row>
        <row r="438">
          <cell r="A438" t="str">
            <v>10352847</v>
          </cell>
          <cell r="B438">
            <v>10</v>
          </cell>
          <cell r="D438" t="str">
            <v>42036877</v>
          </cell>
          <cell r="E438">
            <v>2</v>
          </cell>
        </row>
        <row r="439">
          <cell r="A439" t="str">
            <v>10357584</v>
          </cell>
          <cell r="B439">
            <v>2</v>
          </cell>
          <cell r="D439" t="str">
            <v>42061179</v>
          </cell>
          <cell r="E439">
            <v>1</v>
          </cell>
        </row>
        <row r="440">
          <cell r="A440" t="str">
            <v>10361192</v>
          </cell>
          <cell r="B440">
            <v>4</v>
          </cell>
          <cell r="D440" t="str">
            <v>42091999</v>
          </cell>
          <cell r="E440">
            <v>3</v>
          </cell>
        </row>
        <row r="441">
          <cell r="A441" t="str">
            <v>10365148</v>
          </cell>
          <cell r="B441">
            <v>6</v>
          </cell>
          <cell r="D441" t="str">
            <v>42094401</v>
          </cell>
          <cell r="E441">
            <v>1</v>
          </cell>
        </row>
        <row r="442">
          <cell r="A442" t="str">
            <v>10381107</v>
          </cell>
          <cell r="B442">
            <v>36</v>
          </cell>
          <cell r="D442" t="str">
            <v>42100634</v>
          </cell>
          <cell r="E442">
            <v>1</v>
          </cell>
        </row>
        <row r="443">
          <cell r="A443" t="str">
            <v>10397270</v>
          </cell>
          <cell r="B443">
            <v>8</v>
          </cell>
          <cell r="D443" t="str">
            <v>42109929</v>
          </cell>
          <cell r="E443">
            <v>1</v>
          </cell>
        </row>
        <row r="444">
          <cell r="A444" t="str">
            <v>10399276</v>
          </cell>
          <cell r="B444">
            <v>1</v>
          </cell>
          <cell r="D444" t="str">
            <v>42125400</v>
          </cell>
          <cell r="E444">
            <v>1</v>
          </cell>
        </row>
        <row r="445">
          <cell r="A445" t="str">
            <v>10408654</v>
          </cell>
          <cell r="B445">
            <v>11</v>
          </cell>
          <cell r="D445" t="str">
            <v>42127695</v>
          </cell>
          <cell r="E445">
            <v>2</v>
          </cell>
        </row>
        <row r="446">
          <cell r="A446" t="str">
            <v>10417176</v>
          </cell>
          <cell r="B446">
            <v>2</v>
          </cell>
          <cell r="D446" t="str">
            <v>42131788</v>
          </cell>
          <cell r="E446">
            <v>3</v>
          </cell>
        </row>
        <row r="447">
          <cell r="A447" t="str">
            <v>10418040</v>
          </cell>
          <cell r="B447">
            <v>4</v>
          </cell>
          <cell r="D447" t="str">
            <v>42151376</v>
          </cell>
          <cell r="E447">
            <v>1</v>
          </cell>
        </row>
        <row r="448">
          <cell r="A448" t="str">
            <v>10423929</v>
          </cell>
          <cell r="B448">
            <v>9</v>
          </cell>
          <cell r="D448" t="str">
            <v>42151669</v>
          </cell>
          <cell r="E448">
            <v>1</v>
          </cell>
        </row>
        <row r="449">
          <cell r="A449" t="str">
            <v>10425358</v>
          </cell>
          <cell r="B449">
            <v>3</v>
          </cell>
          <cell r="D449" t="str">
            <v>42153019</v>
          </cell>
          <cell r="E449">
            <v>1</v>
          </cell>
        </row>
        <row r="450">
          <cell r="A450" t="str">
            <v>10426383</v>
          </cell>
          <cell r="B450">
            <v>15</v>
          </cell>
          <cell r="D450" t="str">
            <v>42158244</v>
          </cell>
          <cell r="E450">
            <v>8</v>
          </cell>
        </row>
        <row r="451">
          <cell r="A451" t="str">
            <v>10430308</v>
          </cell>
          <cell r="B451">
            <v>2</v>
          </cell>
          <cell r="D451" t="str">
            <v>42177135</v>
          </cell>
          <cell r="E451">
            <v>3</v>
          </cell>
        </row>
        <row r="452">
          <cell r="A452" t="str">
            <v>10439572</v>
          </cell>
          <cell r="B452">
            <v>6</v>
          </cell>
          <cell r="D452" t="str">
            <v>42201102</v>
          </cell>
          <cell r="E452">
            <v>1</v>
          </cell>
        </row>
        <row r="453">
          <cell r="A453" t="str">
            <v>10475165</v>
          </cell>
          <cell r="B453">
            <v>29</v>
          </cell>
          <cell r="D453" t="str">
            <v>42209247</v>
          </cell>
          <cell r="E453">
            <v>1</v>
          </cell>
        </row>
        <row r="454">
          <cell r="A454" t="str">
            <v>10487996</v>
          </cell>
          <cell r="B454">
            <v>3</v>
          </cell>
          <cell r="D454" t="str">
            <v>42212003</v>
          </cell>
          <cell r="E454">
            <v>1</v>
          </cell>
        </row>
        <row r="455">
          <cell r="A455" t="str">
            <v>10503101</v>
          </cell>
          <cell r="B455">
            <v>11</v>
          </cell>
          <cell r="D455" t="str">
            <v>42231074</v>
          </cell>
          <cell r="E455">
            <v>1</v>
          </cell>
        </row>
        <row r="456">
          <cell r="A456" t="str">
            <v>10506701</v>
          </cell>
          <cell r="B456">
            <v>11</v>
          </cell>
          <cell r="D456" t="str">
            <v>42231405</v>
          </cell>
          <cell r="E456">
            <v>2</v>
          </cell>
        </row>
        <row r="457">
          <cell r="A457" t="str">
            <v>10519890</v>
          </cell>
          <cell r="B457">
            <v>15</v>
          </cell>
          <cell r="D457" t="str">
            <v>42241776</v>
          </cell>
          <cell r="E457">
            <v>1</v>
          </cell>
        </row>
        <row r="458">
          <cell r="A458" t="str">
            <v>10524589</v>
          </cell>
          <cell r="B458">
            <v>5</v>
          </cell>
          <cell r="D458" t="str">
            <v>42243330</v>
          </cell>
          <cell r="E458">
            <v>4</v>
          </cell>
        </row>
        <row r="459">
          <cell r="A459" t="str">
            <v>10525085</v>
          </cell>
          <cell r="B459">
            <v>21</v>
          </cell>
          <cell r="D459" t="str">
            <v>42271991</v>
          </cell>
          <cell r="E459">
            <v>1</v>
          </cell>
        </row>
        <row r="460">
          <cell r="A460" t="str">
            <v>10527541</v>
          </cell>
          <cell r="B460">
            <v>5</v>
          </cell>
          <cell r="D460" t="str">
            <v>42296555</v>
          </cell>
          <cell r="E460">
            <v>2</v>
          </cell>
        </row>
        <row r="461">
          <cell r="A461" t="str">
            <v>10528909</v>
          </cell>
          <cell r="B461">
            <v>39</v>
          </cell>
          <cell r="D461" t="str">
            <v>42320227</v>
          </cell>
          <cell r="E461">
            <v>1</v>
          </cell>
        </row>
        <row r="462">
          <cell r="A462" t="str">
            <v>10604617</v>
          </cell>
          <cell r="B462">
            <v>2</v>
          </cell>
          <cell r="D462" t="str">
            <v>42326117</v>
          </cell>
          <cell r="E462">
            <v>3</v>
          </cell>
        </row>
        <row r="463">
          <cell r="A463" t="str">
            <v>10607649</v>
          </cell>
          <cell r="B463">
            <v>6</v>
          </cell>
          <cell r="D463" t="str">
            <v>42328795</v>
          </cell>
          <cell r="E463">
            <v>1</v>
          </cell>
        </row>
        <row r="464">
          <cell r="A464" t="str">
            <v>10610330</v>
          </cell>
          <cell r="B464">
            <v>25</v>
          </cell>
          <cell r="D464" t="str">
            <v>42340441</v>
          </cell>
          <cell r="E464">
            <v>1</v>
          </cell>
        </row>
        <row r="465">
          <cell r="A465" t="str">
            <v>10610822</v>
          </cell>
          <cell r="B465">
            <v>3</v>
          </cell>
          <cell r="D465" t="str">
            <v>42341517</v>
          </cell>
          <cell r="E465">
            <v>1</v>
          </cell>
        </row>
        <row r="466">
          <cell r="A466" t="str">
            <v>10621637</v>
          </cell>
          <cell r="B466">
            <v>1</v>
          </cell>
          <cell r="D466" t="str">
            <v>42342455</v>
          </cell>
          <cell r="E466">
            <v>1</v>
          </cell>
        </row>
        <row r="467">
          <cell r="A467" t="str">
            <v>10625450</v>
          </cell>
          <cell r="B467">
            <v>30</v>
          </cell>
          <cell r="D467" t="str">
            <v>42348825</v>
          </cell>
          <cell r="E467">
            <v>4</v>
          </cell>
        </row>
        <row r="468">
          <cell r="A468" t="str">
            <v>10632898</v>
          </cell>
          <cell r="B468">
            <v>8</v>
          </cell>
          <cell r="D468" t="str">
            <v>42352668</v>
          </cell>
          <cell r="E468">
            <v>3</v>
          </cell>
        </row>
        <row r="469">
          <cell r="A469" t="str">
            <v>10634898</v>
          </cell>
          <cell r="B469">
            <v>59</v>
          </cell>
          <cell r="D469" t="str">
            <v>42370451</v>
          </cell>
          <cell r="E469">
            <v>1</v>
          </cell>
        </row>
        <row r="470">
          <cell r="A470" t="str">
            <v>10637213</v>
          </cell>
          <cell r="B470">
            <v>21</v>
          </cell>
          <cell r="D470" t="str">
            <v>42372910</v>
          </cell>
          <cell r="E470">
            <v>2</v>
          </cell>
        </row>
        <row r="471">
          <cell r="A471" t="str">
            <v>10645957</v>
          </cell>
          <cell r="B471">
            <v>8</v>
          </cell>
          <cell r="D471" t="str">
            <v>42376176</v>
          </cell>
          <cell r="E471">
            <v>2</v>
          </cell>
        </row>
        <row r="472">
          <cell r="A472" t="str">
            <v>10646050</v>
          </cell>
          <cell r="B472">
            <v>2</v>
          </cell>
          <cell r="D472" t="str">
            <v>42381005</v>
          </cell>
          <cell r="E472">
            <v>16</v>
          </cell>
        </row>
        <row r="473">
          <cell r="A473" t="str">
            <v>10650047</v>
          </cell>
          <cell r="B473">
            <v>2</v>
          </cell>
          <cell r="D473" t="str">
            <v>42390519</v>
          </cell>
          <cell r="E473">
            <v>2</v>
          </cell>
        </row>
        <row r="474">
          <cell r="A474" t="str">
            <v>10650198</v>
          </cell>
          <cell r="B474">
            <v>8</v>
          </cell>
          <cell r="D474" t="str">
            <v>42415599</v>
          </cell>
          <cell r="E474">
            <v>3</v>
          </cell>
        </row>
        <row r="475">
          <cell r="A475" t="str">
            <v>10653672</v>
          </cell>
          <cell r="B475">
            <v>3</v>
          </cell>
          <cell r="D475" t="str">
            <v>42423112</v>
          </cell>
          <cell r="E475">
            <v>1</v>
          </cell>
        </row>
        <row r="476">
          <cell r="A476" t="str">
            <v>10663126</v>
          </cell>
          <cell r="B476">
            <v>20</v>
          </cell>
          <cell r="D476" t="str">
            <v>42427632</v>
          </cell>
          <cell r="E476">
            <v>2</v>
          </cell>
        </row>
        <row r="477">
          <cell r="A477" t="str">
            <v>10664666</v>
          </cell>
          <cell r="B477">
            <v>8</v>
          </cell>
          <cell r="D477" t="str">
            <v>42431041</v>
          </cell>
          <cell r="E477">
            <v>6</v>
          </cell>
        </row>
        <row r="478">
          <cell r="A478" t="str">
            <v>10664712</v>
          </cell>
          <cell r="B478">
            <v>3</v>
          </cell>
          <cell r="D478" t="str">
            <v>42431216</v>
          </cell>
          <cell r="E478">
            <v>1</v>
          </cell>
        </row>
        <row r="479">
          <cell r="A479" t="str">
            <v>10667314</v>
          </cell>
          <cell r="B479">
            <v>2</v>
          </cell>
          <cell r="D479" t="str">
            <v>42456009</v>
          </cell>
          <cell r="E479">
            <v>1</v>
          </cell>
        </row>
        <row r="480">
          <cell r="A480" t="str">
            <v>10669835</v>
          </cell>
          <cell r="B480">
            <v>15</v>
          </cell>
          <cell r="D480" t="str">
            <v>42484413</v>
          </cell>
          <cell r="E480">
            <v>1</v>
          </cell>
        </row>
        <row r="481">
          <cell r="A481" t="str">
            <v>10673978</v>
          </cell>
          <cell r="B481">
            <v>14</v>
          </cell>
          <cell r="D481" t="str">
            <v>42501177</v>
          </cell>
          <cell r="E481">
            <v>1</v>
          </cell>
        </row>
        <row r="482">
          <cell r="A482" t="str">
            <v>10677004</v>
          </cell>
          <cell r="B482">
            <v>5</v>
          </cell>
          <cell r="D482" t="str">
            <v>42511189</v>
          </cell>
          <cell r="E482">
            <v>3</v>
          </cell>
        </row>
        <row r="483">
          <cell r="A483" t="str">
            <v>10680137</v>
          </cell>
          <cell r="B483">
            <v>17</v>
          </cell>
          <cell r="D483" t="str">
            <v>42522892</v>
          </cell>
          <cell r="E483">
            <v>7</v>
          </cell>
        </row>
        <row r="484">
          <cell r="A484" t="str">
            <v>10682170</v>
          </cell>
          <cell r="B484">
            <v>4</v>
          </cell>
          <cell r="D484" t="str">
            <v>42527625</v>
          </cell>
          <cell r="E484">
            <v>5</v>
          </cell>
        </row>
        <row r="485">
          <cell r="A485" t="str">
            <v>10684975</v>
          </cell>
          <cell r="B485">
            <v>19</v>
          </cell>
          <cell r="D485" t="str">
            <v>42527642</v>
          </cell>
          <cell r="E485">
            <v>1</v>
          </cell>
        </row>
        <row r="486">
          <cell r="A486" t="str">
            <v>10689009</v>
          </cell>
          <cell r="B486">
            <v>7</v>
          </cell>
          <cell r="D486" t="str">
            <v>42535879</v>
          </cell>
          <cell r="E486">
            <v>1</v>
          </cell>
        </row>
        <row r="487">
          <cell r="A487" t="str">
            <v>10697461</v>
          </cell>
          <cell r="B487">
            <v>7</v>
          </cell>
          <cell r="D487" t="str">
            <v>42594795</v>
          </cell>
          <cell r="E487">
            <v>5</v>
          </cell>
        </row>
        <row r="488">
          <cell r="A488" t="str">
            <v>10698811</v>
          </cell>
          <cell r="B488">
            <v>6</v>
          </cell>
          <cell r="D488" t="str">
            <v>42601836</v>
          </cell>
          <cell r="E488">
            <v>1</v>
          </cell>
        </row>
        <row r="489">
          <cell r="A489" t="str">
            <v>10713254</v>
          </cell>
          <cell r="B489">
            <v>7</v>
          </cell>
          <cell r="D489" t="str">
            <v>42654487</v>
          </cell>
          <cell r="E489">
            <v>21</v>
          </cell>
        </row>
        <row r="490">
          <cell r="A490" t="str">
            <v>10739072</v>
          </cell>
          <cell r="B490">
            <v>16</v>
          </cell>
          <cell r="D490" t="str">
            <v>42677350</v>
          </cell>
          <cell r="E490">
            <v>1</v>
          </cell>
        </row>
        <row r="491">
          <cell r="A491" t="str">
            <v>10741149</v>
          </cell>
          <cell r="B491">
            <v>4</v>
          </cell>
          <cell r="D491" t="str">
            <v>42678916</v>
          </cell>
          <cell r="E491">
            <v>2</v>
          </cell>
        </row>
        <row r="492">
          <cell r="A492" t="str">
            <v>10741713</v>
          </cell>
          <cell r="B492">
            <v>8</v>
          </cell>
          <cell r="D492" t="str">
            <v>42686892</v>
          </cell>
          <cell r="E492">
            <v>1</v>
          </cell>
        </row>
        <row r="493">
          <cell r="A493" t="str">
            <v>10742956</v>
          </cell>
          <cell r="B493">
            <v>4</v>
          </cell>
          <cell r="D493" t="str">
            <v>42688309</v>
          </cell>
          <cell r="E493">
            <v>3</v>
          </cell>
        </row>
        <row r="494">
          <cell r="A494" t="str">
            <v>10745622</v>
          </cell>
          <cell r="B494">
            <v>1</v>
          </cell>
          <cell r="D494" t="str">
            <v>42692368</v>
          </cell>
          <cell r="E494">
            <v>1</v>
          </cell>
        </row>
        <row r="495">
          <cell r="A495" t="str">
            <v>10748207</v>
          </cell>
          <cell r="B495">
            <v>2</v>
          </cell>
          <cell r="D495" t="str">
            <v>42695689</v>
          </cell>
          <cell r="E495">
            <v>5</v>
          </cell>
        </row>
        <row r="496">
          <cell r="A496" t="str">
            <v>10749299</v>
          </cell>
          <cell r="B496">
            <v>20</v>
          </cell>
          <cell r="D496" t="str">
            <v>42699758</v>
          </cell>
          <cell r="E496">
            <v>4</v>
          </cell>
        </row>
        <row r="497">
          <cell r="A497" t="str">
            <v>10751230</v>
          </cell>
          <cell r="B497">
            <v>2</v>
          </cell>
          <cell r="D497" t="str">
            <v>42705124</v>
          </cell>
          <cell r="E497">
            <v>5</v>
          </cell>
        </row>
        <row r="498">
          <cell r="A498" t="str">
            <v>10752503</v>
          </cell>
          <cell r="B498">
            <v>81</v>
          </cell>
          <cell r="D498" t="str">
            <v>42708466</v>
          </cell>
          <cell r="E498">
            <v>35</v>
          </cell>
        </row>
        <row r="499">
          <cell r="A499" t="str">
            <v>10753599</v>
          </cell>
          <cell r="B499">
            <v>36</v>
          </cell>
          <cell r="D499" t="str">
            <v>42736381</v>
          </cell>
          <cell r="E499">
            <v>1</v>
          </cell>
        </row>
        <row r="500">
          <cell r="A500" t="str">
            <v>10756571</v>
          </cell>
          <cell r="B500">
            <v>12</v>
          </cell>
          <cell r="D500" t="str">
            <v>42745891</v>
          </cell>
          <cell r="E500">
            <v>1</v>
          </cell>
        </row>
        <row r="501">
          <cell r="A501" t="str">
            <v>10756653</v>
          </cell>
          <cell r="B501">
            <v>7</v>
          </cell>
          <cell r="D501" t="str">
            <v>42766285</v>
          </cell>
          <cell r="E501">
            <v>1</v>
          </cell>
        </row>
        <row r="502">
          <cell r="A502" t="str">
            <v>10762587</v>
          </cell>
          <cell r="B502">
            <v>1</v>
          </cell>
          <cell r="D502" t="str">
            <v>42781817</v>
          </cell>
          <cell r="E502">
            <v>1</v>
          </cell>
        </row>
        <row r="503">
          <cell r="A503" t="str">
            <v>10776941</v>
          </cell>
          <cell r="B503">
            <v>41</v>
          </cell>
          <cell r="D503" t="str">
            <v>42798339</v>
          </cell>
          <cell r="E503">
            <v>8</v>
          </cell>
        </row>
        <row r="504">
          <cell r="A504" t="str">
            <v>10776981</v>
          </cell>
          <cell r="B504">
            <v>1</v>
          </cell>
          <cell r="D504" t="str">
            <v>42809298</v>
          </cell>
          <cell r="E504">
            <v>1</v>
          </cell>
        </row>
        <row r="505">
          <cell r="A505" t="str">
            <v>10788336</v>
          </cell>
          <cell r="B505">
            <v>14</v>
          </cell>
          <cell r="D505" t="str">
            <v>42839310</v>
          </cell>
          <cell r="E505">
            <v>1</v>
          </cell>
        </row>
        <row r="506">
          <cell r="A506" t="str">
            <v>10804656</v>
          </cell>
          <cell r="B506">
            <v>16</v>
          </cell>
          <cell r="D506" t="str">
            <v>42860216</v>
          </cell>
          <cell r="E506">
            <v>1</v>
          </cell>
        </row>
        <row r="507">
          <cell r="A507" t="str">
            <v>10807020</v>
          </cell>
          <cell r="B507">
            <v>17</v>
          </cell>
          <cell r="D507" t="str">
            <v>42863622</v>
          </cell>
          <cell r="E507">
            <v>2</v>
          </cell>
        </row>
        <row r="508">
          <cell r="A508" t="str">
            <v>10810957</v>
          </cell>
          <cell r="B508">
            <v>4</v>
          </cell>
          <cell r="D508" t="str">
            <v>42891576</v>
          </cell>
          <cell r="E508">
            <v>4</v>
          </cell>
        </row>
        <row r="509">
          <cell r="A509" t="str">
            <v>10813856</v>
          </cell>
          <cell r="B509">
            <v>14</v>
          </cell>
          <cell r="D509" t="str">
            <v>42894235</v>
          </cell>
          <cell r="E509">
            <v>1</v>
          </cell>
        </row>
        <row r="510">
          <cell r="A510" t="str">
            <v>10819003</v>
          </cell>
          <cell r="B510">
            <v>6</v>
          </cell>
          <cell r="D510" t="str">
            <v>42895640</v>
          </cell>
          <cell r="E510">
            <v>4</v>
          </cell>
        </row>
        <row r="511">
          <cell r="A511" t="str">
            <v>10880538</v>
          </cell>
          <cell r="B511">
            <v>9</v>
          </cell>
          <cell r="D511" t="str">
            <v>42913982</v>
          </cell>
          <cell r="E511">
            <v>2</v>
          </cell>
        </row>
        <row r="512">
          <cell r="A512" t="str">
            <v>15379392</v>
          </cell>
          <cell r="B512">
            <v>11</v>
          </cell>
          <cell r="D512" t="str">
            <v>42965992</v>
          </cell>
          <cell r="E512">
            <v>2</v>
          </cell>
        </row>
        <row r="513">
          <cell r="A513" t="str">
            <v>15423587</v>
          </cell>
          <cell r="B513">
            <v>10</v>
          </cell>
          <cell r="D513" t="str">
            <v>42982332</v>
          </cell>
          <cell r="E513">
            <v>3</v>
          </cell>
        </row>
        <row r="514">
          <cell r="A514" t="str">
            <v>15426020</v>
          </cell>
          <cell r="B514">
            <v>8</v>
          </cell>
          <cell r="D514" t="str">
            <v>42991875</v>
          </cell>
          <cell r="E514">
            <v>1</v>
          </cell>
        </row>
        <row r="515">
          <cell r="A515" t="str">
            <v>15435779</v>
          </cell>
          <cell r="B515">
            <v>16</v>
          </cell>
          <cell r="D515" t="str">
            <v>42999470</v>
          </cell>
          <cell r="E515">
            <v>1</v>
          </cell>
        </row>
        <row r="516">
          <cell r="A516" t="str">
            <v>15439335</v>
          </cell>
          <cell r="B516">
            <v>1</v>
          </cell>
          <cell r="D516" t="str">
            <v>43002979</v>
          </cell>
          <cell r="E516">
            <v>13</v>
          </cell>
        </row>
        <row r="517">
          <cell r="A517" t="str">
            <v>15448210</v>
          </cell>
          <cell r="B517">
            <v>110</v>
          </cell>
          <cell r="D517" t="str">
            <v>43004844</v>
          </cell>
          <cell r="E517">
            <v>1</v>
          </cell>
        </row>
        <row r="518">
          <cell r="A518" t="str">
            <v>15451258</v>
          </cell>
          <cell r="B518">
            <v>2</v>
          </cell>
          <cell r="D518" t="str">
            <v>43006593</v>
          </cell>
          <cell r="E518">
            <v>6</v>
          </cell>
        </row>
        <row r="519">
          <cell r="A519" t="str">
            <v>15583887</v>
          </cell>
          <cell r="B519">
            <v>17</v>
          </cell>
          <cell r="D519" t="str">
            <v>43011393</v>
          </cell>
          <cell r="E519">
            <v>1</v>
          </cell>
        </row>
        <row r="520">
          <cell r="A520" t="str">
            <v>15628701</v>
          </cell>
          <cell r="B520">
            <v>19</v>
          </cell>
          <cell r="D520" t="str">
            <v>43017998</v>
          </cell>
          <cell r="E520">
            <v>1</v>
          </cell>
        </row>
        <row r="521">
          <cell r="A521" t="str">
            <v>15649051</v>
          </cell>
          <cell r="B521">
            <v>194</v>
          </cell>
          <cell r="D521" t="str">
            <v>43020812</v>
          </cell>
          <cell r="E521">
            <v>1</v>
          </cell>
        </row>
        <row r="522">
          <cell r="A522" t="str">
            <v>15720466</v>
          </cell>
          <cell r="B522">
            <v>5</v>
          </cell>
          <cell r="D522" t="str">
            <v>43027498</v>
          </cell>
          <cell r="E522">
            <v>1</v>
          </cell>
        </row>
        <row r="523">
          <cell r="A523" t="str">
            <v>15735573</v>
          </cell>
          <cell r="B523">
            <v>4</v>
          </cell>
          <cell r="D523" t="str">
            <v>43029798</v>
          </cell>
          <cell r="E523">
            <v>8</v>
          </cell>
        </row>
        <row r="524">
          <cell r="A524" t="str">
            <v>15737653</v>
          </cell>
          <cell r="B524">
            <v>10</v>
          </cell>
          <cell r="D524" t="str">
            <v>43030822</v>
          </cell>
          <cell r="E524">
            <v>1</v>
          </cell>
        </row>
        <row r="525">
          <cell r="A525" t="str">
            <v>15741403</v>
          </cell>
          <cell r="B525">
            <v>7</v>
          </cell>
          <cell r="D525" t="str">
            <v>43031522</v>
          </cell>
          <cell r="E525">
            <v>2</v>
          </cell>
        </row>
        <row r="526">
          <cell r="A526" t="str">
            <v>15742966</v>
          </cell>
          <cell r="B526">
            <v>6</v>
          </cell>
          <cell r="D526" t="str">
            <v>43031949</v>
          </cell>
          <cell r="E526">
            <v>1</v>
          </cell>
        </row>
        <row r="527">
          <cell r="A527" t="str">
            <v>15745895</v>
          </cell>
          <cell r="B527">
            <v>62</v>
          </cell>
          <cell r="D527" t="str">
            <v>43032237</v>
          </cell>
          <cell r="E527">
            <v>1</v>
          </cell>
        </row>
        <row r="528">
          <cell r="A528" t="str">
            <v>15749628</v>
          </cell>
          <cell r="B528">
            <v>1</v>
          </cell>
          <cell r="D528" t="str">
            <v>43037236</v>
          </cell>
          <cell r="E528">
            <v>1</v>
          </cell>
        </row>
        <row r="529">
          <cell r="A529" t="str">
            <v>15758062</v>
          </cell>
          <cell r="B529">
            <v>7</v>
          </cell>
          <cell r="D529" t="str">
            <v>43046026</v>
          </cell>
          <cell r="E529">
            <v>2</v>
          </cell>
        </row>
        <row r="530">
          <cell r="A530" t="str">
            <v>15762357</v>
          </cell>
          <cell r="B530">
            <v>1</v>
          </cell>
          <cell r="D530" t="str">
            <v>43047000</v>
          </cell>
          <cell r="E530">
            <v>1</v>
          </cell>
        </row>
        <row r="531">
          <cell r="A531" t="str">
            <v>15762583</v>
          </cell>
          <cell r="B531">
            <v>1</v>
          </cell>
          <cell r="D531" t="str">
            <v>43048426</v>
          </cell>
          <cell r="E531">
            <v>9</v>
          </cell>
        </row>
        <row r="532">
          <cell r="A532" t="str">
            <v>15845749</v>
          </cell>
          <cell r="B532">
            <v>6</v>
          </cell>
          <cell r="D532" t="str">
            <v>43053581</v>
          </cell>
          <cell r="E532">
            <v>2</v>
          </cell>
        </row>
        <row r="533">
          <cell r="A533" t="str">
            <v>15848790</v>
          </cell>
          <cell r="B533">
            <v>5</v>
          </cell>
          <cell r="D533" t="str">
            <v>43059509</v>
          </cell>
          <cell r="E533">
            <v>3</v>
          </cell>
        </row>
        <row r="534">
          <cell r="A534" t="str">
            <v>15853177</v>
          </cell>
          <cell r="B534">
            <v>74</v>
          </cell>
          <cell r="D534" t="str">
            <v>43068111</v>
          </cell>
          <cell r="E534">
            <v>1</v>
          </cell>
        </row>
        <row r="535">
          <cell r="A535" t="str">
            <v>15856956</v>
          </cell>
          <cell r="B535">
            <v>37</v>
          </cell>
          <cell r="D535" t="str">
            <v>43077396</v>
          </cell>
          <cell r="E535">
            <v>1</v>
          </cell>
        </row>
        <row r="536">
          <cell r="A536" t="str">
            <v>15859784</v>
          </cell>
          <cell r="B536">
            <v>106</v>
          </cell>
          <cell r="D536" t="str">
            <v>43078244</v>
          </cell>
          <cell r="E536">
            <v>2</v>
          </cell>
        </row>
        <row r="537">
          <cell r="A537" t="str">
            <v>15859931</v>
          </cell>
          <cell r="B537">
            <v>7</v>
          </cell>
          <cell r="D537" t="str">
            <v>43083391</v>
          </cell>
          <cell r="E537">
            <v>1</v>
          </cell>
        </row>
        <row r="538">
          <cell r="A538" t="str">
            <v>15863286</v>
          </cell>
          <cell r="B538">
            <v>10</v>
          </cell>
          <cell r="D538" t="str">
            <v>43085084</v>
          </cell>
          <cell r="E538">
            <v>1</v>
          </cell>
        </row>
        <row r="539">
          <cell r="A539" t="str">
            <v>15864156</v>
          </cell>
          <cell r="B539">
            <v>17</v>
          </cell>
          <cell r="D539" t="str">
            <v>43089648</v>
          </cell>
          <cell r="E539">
            <v>2</v>
          </cell>
        </row>
        <row r="540">
          <cell r="A540" t="str">
            <v>15992467</v>
          </cell>
          <cell r="B540">
            <v>6</v>
          </cell>
          <cell r="D540" t="str">
            <v>43115508</v>
          </cell>
          <cell r="E540">
            <v>19</v>
          </cell>
        </row>
        <row r="541">
          <cell r="A541" t="str">
            <v>15995966</v>
          </cell>
          <cell r="B541">
            <v>9</v>
          </cell>
          <cell r="D541" t="str">
            <v>43115878</v>
          </cell>
          <cell r="E541">
            <v>7</v>
          </cell>
        </row>
        <row r="542">
          <cell r="A542" t="str">
            <v>16006975</v>
          </cell>
          <cell r="B542">
            <v>5</v>
          </cell>
          <cell r="D542" t="str">
            <v>43119768</v>
          </cell>
          <cell r="E542">
            <v>3</v>
          </cell>
        </row>
        <row r="543">
          <cell r="A543" t="str">
            <v>16011256</v>
          </cell>
          <cell r="B543">
            <v>3</v>
          </cell>
          <cell r="D543" t="str">
            <v>43126553</v>
          </cell>
          <cell r="E543">
            <v>1</v>
          </cell>
        </row>
        <row r="544">
          <cell r="A544" t="str">
            <v>16011450</v>
          </cell>
          <cell r="B544">
            <v>7</v>
          </cell>
          <cell r="D544" t="str">
            <v>43130080</v>
          </cell>
          <cell r="E544">
            <v>2</v>
          </cell>
        </row>
        <row r="545">
          <cell r="A545" t="str">
            <v>16022181</v>
          </cell>
          <cell r="B545">
            <v>2</v>
          </cell>
          <cell r="D545" t="str">
            <v>43142895</v>
          </cell>
          <cell r="E545">
            <v>2</v>
          </cell>
        </row>
        <row r="546">
          <cell r="A546" t="str">
            <v>16153036</v>
          </cell>
          <cell r="B546">
            <v>179</v>
          </cell>
          <cell r="D546" t="str">
            <v>43154283</v>
          </cell>
          <cell r="E546">
            <v>1</v>
          </cell>
        </row>
        <row r="547">
          <cell r="A547" t="str">
            <v>16409067</v>
          </cell>
          <cell r="B547">
            <v>2</v>
          </cell>
          <cell r="D547" t="str">
            <v>43154808</v>
          </cell>
          <cell r="E547">
            <v>1</v>
          </cell>
        </row>
        <row r="548">
          <cell r="A548" t="str">
            <v>16437751</v>
          </cell>
          <cell r="B548">
            <v>4</v>
          </cell>
          <cell r="D548" t="str">
            <v>43166459</v>
          </cell>
          <cell r="E548">
            <v>1</v>
          </cell>
        </row>
        <row r="549">
          <cell r="A549" t="str">
            <v>16453566</v>
          </cell>
          <cell r="B549">
            <v>98</v>
          </cell>
          <cell r="D549" t="str">
            <v>43170358</v>
          </cell>
          <cell r="E549">
            <v>3</v>
          </cell>
        </row>
        <row r="550">
          <cell r="A550" t="str">
            <v>16502909</v>
          </cell>
          <cell r="B550">
            <v>8</v>
          </cell>
          <cell r="D550" t="str">
            <v>43173589</v>
          </cell>
          <cell r="E550">
            <v>1</v>
          </cell>
        </row>
        <row r="551">
          <cell r="A551" t="str">
            <v>16520960</v>
          </cell>
          <cell r="B551">
            <v>3</v>
          </cell>
          <cell r="D551" t="str">
            <v>43206554</v>
          </cell>
          <cell r="E551">
            <v>1</v>
          </cell>
        </row>
        <row r="552">
          <cell r="A552" t="str">
            <v>16556900</v>
          </cell>
          <cell r="B552">
            <v>17</v>
          </cell>
          <cell r="D552" t="str">
            <v>43214816</v>
          </cell>
          <cell r="E552">
            <v>7</v>
          </cell>
        </row>
        <row r="553">
          <cell r="A553" t="str">
            <v>16568543</v>
          </cell>
          <cell r="B553">
            <v>1</v>
          </cell>
          <cell r="D553" t="str">
            <v>43235074</v>
          </cell>
          <cell r="E553">
            <v>1</v>
          </cell>
        </row>
        <row r="554">
          <cell r="A554" t="str">
            <v>16610317</v>
          </cell>
          <cell r="B554">
            <v>11</v>
          </cell>
          <cell r="D554" t="str">
            <v>43264135</v>
          </cell>
          <cell r="E554">
            <v>1</v>
          </cell>
        </row>
        <row r="555">
          <cell r="A555" t="str">
            <v>16614193</v>
          </cell>
          <cell r="B555">
            <v>2</v>
          </cell>
          <cell r="D555" t="str">
            <v>43277272</v>
          </cell>
          <cell r="E555">
            <v>1</v>
          </cell>
        </row>
        <row r="556">
          <cell r="A556" t="str">
            <v>16631776</v>
          </cell>
          <cell r="B556">
            <v>12</v>
          </cell>
          <cell r="D556" t="str">
            <v>43278292</v>
          </cell>
          <cell r="E556">
            <v>8</v>
          </cell>
        </row>
        <row r="557">
          <cell r="A557" t="str">
            <v>16658096</v>
          </cell>
          <cell r="B557">
            <v>7</v>
          </cell>
          <cell r="D557" t="str">
            <v>43281076</v>
          </cell>
          <cell r="E557">
            <v>1</v>
          </cell>
        </row>
        <row r="558">
          <cell r="A558" t="str">
            <v>16659473</v>
          </cell>
          <cell r="B558">
            <v>2</v>
          </cell>
          <cell r="D558" t="str">
            <v>43315370</v>
          </cell>
          <cell r="E558">
            <v>1</v>
          </cell>
        </row>
        <row r="559">
          <cell r="A559" t="str">
            <v>16671279</v>
          </cell>
          <cell r="B559">
            <v>2</v>
          </cell>
          <cell r="D559" t="str">
            <v>43326532</v>
          </cell>
          <cell r="E559">
            <v>1</v>
          </cell>
        </row>
        <row r="560">
          <cell r="A560" t="str">
            <v>16683739</v>
          </cell>
          <cell r="B560">
            <v>3</v>
          </cell>
          <cell r="D560" t="str">
            <v>43347540</v>
          </cell>
          <cell r="E560">
            <v>1</v>
          </cell>
        </row>
        <row r="561">
          <cell r="A561" t="str">
            <v>16690884</v>
          </cell>
          <cell r="B561">
            <v>13</v>
          </cell>
          <cell r="D561" t="str">
            <v>43352538</v>
          </cell>
          <cell r="E561">
            <v>2</v>
          </cell>
        </row>
        <row r="562">
          <cell r="A562" t="str">
            <v>16703339</v>
          </cell>
          <cell r="B562">
            <v>1</v>
          </cell>
          <cell r="D562" t="str">
            <v>43355618</v>
          </cell>
          <cell r="E562">
            <v>2</v>
          </cell>
        </row>
        <row r="563">
          <cell r="A563" t="str">
            <v>16704400</v>
          </cell>
          <cell r="B563">
            <v>2</v>
          </cell>
          <cell r="D563" t="str">
            <v>43391406</v>
          </cell>
          <cell r="E563">
            <v>1</v>
          </cell>
        </row>
        <row r="564">
          <cell r="A564" t="str">
            <v>16706819</v>
          </cell>
          <cell r="B564">
            <v>3</v>
          </cell>
          <cell r="D564" t="str">
            <v>43393907</v>
          </cell>
          <cell r="E564">
            <v>3</v>
          </cell>
        </row>
        <row r="565">
          <cell r="A565" t="str">
            <v>16713255</v>
          </cell>
          <cell r="B565">
            <v>10</v>
          </cell>
          <cell r="D565" t="str">
            <v>43407901</v>
          </cell>
          <cell r="E565">
            <v>1</v>
          </cell>
        </row>
        <row r="566">
          <cell r="A566" t="str">
            <v>16713962</v>
          </cell>
          <cell r="B566">
            <v>2</v>
          </cell>
          <cell r="D566" t="str">
            <v>43427419</v>
          </cell>
          <cell r="E566">
            <v>1</v>
          </cell>
        </row>
        <row r="567">
          <cell r="A567" t="str">
            <v>16714075</v>
          </cell>
          <cell r="B567">
            <v>34</v>
          </cell>
          <cell r="D567" t="str">
            <v>43445870</v>
          </cell>
          <cell r="E567">
            <v>9</v>
          </cell>
        </row>
        <row r="568">
          <cell r="A568" t="str">
            <v>16717825</v>
          </cell>
          <cell r="B568">
            <v>4</v>
          </cell>
          <cell r="D568" t="str">
            <v>43468967</v>
          </cell>
          <cell r="E568">
            <v>1</v>
          </cell>
        </row>
        <row r="569">
          <cell r="A569" t="str">
            <v>16724071</v>
          </cell>
          <cell r="B569">
            <v>4</v>
          </cell>
          <cell r="D569" t="str">
            <v>43491153</v>
          </cell>
          <cell r="E569">
            <v>2</v>
          </cell>
        </row>
        <row r="570">
          <cell r="A570" t="str">
            <v>16733387</v>
          </cell>
          <cell r="B570">
            <v>43</v>
          </cell>
          <cell r="D570" t="str">
            <v>43499925</v>
          </cell>
          <cell r="E570">
            <v>1</v>
          </cell>
        </row>
        <row r="571">
          <cell r="A571" t="str">
            <v>16741219</v>
          </cell>
          <cell r="B571">
            <v>7</v>
          </cell>
          <cell r="D571" t="str">
            <v>43513742</v>
          </cell>
          <cell r="E571">
            <v>3</v>
          </cell>
        </row>
        <row r="572">
          <cell r="A572" t="str">
            <v>16743689</v>
          </cell>
          <cell r="B572">
            <v>12</v>
          </cell>
          <cell r="D572" t="str">
            <v>43536981</v>
          </cell>
          <cell r="E572">
            <v>3</v>
          </cell>
        </row>
        <row r="573">
          <cell r="A573" t="str">
            <v>16743797</v>
          </cell>
          <cell r="B573">
            <v>5</v>
          </cell>
          <cell r="D573" t="str">
            <v>43541375</v>
          </cell>
          <cell r="E573">
            <v>6</v>
          </cell>
        </row>
        <row r="574">
          <cell r="A574" t="str">
            <v>16749413</v>
          </cell>
          <cell r="B574">
            <v>12</v>
          </cell>
          <cell r="D574" t="str">
            <v>43582856</v>
          </cell>
          <cell r="E574">
            <v>3</v>
          </cell>
        </row>
        <row r="575">
          <cell r="A575" t="str">
            <v>16772724</v>
          </cell>
          <cell r="B575">
            <v>15</v>
          </cell>
          <cell r="D575" t="str">
            <v>43589392</v>
          </cell>
          <cell r="E575">
            <v>1</v>
          </cell>
        </row>
        <row r="576">
          <cell r="A576" t="str">
            <v>16778867</v>
          </cell>
          <cell r="B576">
            <v>3</v>
          </cell>
          <cell r="D576" t="str">
            <v>43604548</v>
          </cell>
          <cell r="E576">
            <v>6</v>
          </cell>
        </row>
        <row r="577">
          <cell r="A577" t="str">
            <v>16795308</v>
          </cell>
          <cell r="B577">
            <v>2</v>
          </cell>
          <cell r="D577" t="str">
            <v>43605113</v>
          </cell>
          <cell r="E577">
            <v>1</v>
          </cell>
        </row>
        <row r="578">
          <cell r="A578" t="str">
            <v>16797644</v>
          </cell>
          <cell r="B578">
            <v>6</v>
          </cell>
          <cell r="D578" t="str">
            <v>43607694</v>
          </cell>
          <cell r="E578">
            <v>2</v>
          </cell>
        </row>
        <row r="579">
          <cell r="A579" t="str">
            <v>16801651</v>
          </cell>
          <cell r="B579">
            <v>4</v>
          </cell>
          <cell r="D579" t="str">
            <v>43608046</v>
          </cell>
          <cell r="E579">
            <v>2</v>
          </cell>
        </row>
        <row r="580">
          <cell r="A580" t="str">
            <v>16805702</v>
          </cell>
          <cell r="B580">
            <v>2</v>
          </cell>
          <cell r="D580" t="str">
            <v>43611056</v>
          </cell>
          <cell r="E580">
            <v>1</v>
          </cell>
        </row>
        <row r="581">
          <cell r="A581" t="str">
            <v>17428343</v>
          </cell>
          <cell r="B581">
            <v>15</v>
          </cell>
          <cell r="D581" t="str">
            <v>43667705</v>
          </cell>
          <cell r="E581">
            <v>1</v>
          </cell>
        </row>
        <row r="582">
          <cell r="A582" t="str">
            <v>17431012</v>
          </cell>
          <cell r="B582">
            <v>2</v>
          </cell>
          <cell r="D582" t="str">
            <v>43668841</v>
          </cell>
          <cell r="E582">
            <v>1</v>
          </cell>
        </row>
        <row r="583">
          <cell r="A583" t="str">
            <v>17435704</v>
          </cell>
          <cell r="B583">
            <v>27</v>
          </cell>
          <cell r="D583" t="str">
            <v>43676662</v>
          </cell>
          <cell r="E583">
            <v>1</v>
          </cell>
        </row>
        <row r="584">
          <cell r="A584" t="str">
            <v>17449514</v>
          </cell>
          <cell r="B584">
            <v>64</v>
          </cell>
          <cell r="D584" t="str">
            <v>43678001</v>
          </cell>
          <cell r="E584">
            <v>1</v>
          </cell>
        </row>
        <row r="585">
          <cell r="A585" t="str">
            <v>17549372</v>
          </cell>
          <cell r="B585">
            <v>29</v>
          </cell>
          <cell r="D585" t="str">
            <v>43679564</v>
          </cell>
          <cell r="E585">
            <v>2</v>
          </cell>
        </row>
        <row r="586">
          <cell r="A586" t="str">
            <v>17558119</v>
          </cell>
          <cell r="B586">
            <v>6</v>
          </cell>
          <cell r="D586" t="str">
            <v>43696724</v>
          </cell>
          <cell r="E586">
            <v>27</v>
          </cell>
        </row>
        <row r="587">
          <cell r="A587" t="str">
            <v>17588501</v>
          </cell>
          <cell r="B587">
            <v>5</v>
          </cell>
          <cell r="D587" t="str">
            <v>43700847</v>
          </cell>
          <cell r="E587">
            <v>5</v>
          </cell>
        </row>
        <row r="588">
          <cell r="A588" t="str">
            <v>17588886</v>
          </cell>
          <cell r="B588">
            <v>15</v>
          </cell>
          <cell r="D588" t="str">
            <v>43705834</v>
          </cell>
          <cell r="E588">
            <v>10</v>
          </cell>
        </row>
        <row r="589">
          <cell r="A589" t="str">
            <v>17596044</v>
          </cell>
          <cell r="B589">
            <v>20</v>
          </cell>
          <cell r="D589" t="str">
            <v>43707128</v>
          </cell>
          <cell r="E589">
            <v>14</v>
          </cell>
        </row>
        <row r="590">
          <cell r="A590" t="str">
            <v>17596688</v>
          </cell>
          <cell r="B590">
            <v>54</v>
          </cell>
          <cell r="D590" t="str">
            <v>43715553</v>
          </cell>
          <cell r="E590">
            <v>1</v>
          </cell>
        </row>
        <row r="591">
          <cell r="A591" t="str">
            <v>17614238</v>
          </cell>
          <cell r="B591">
            <v>1</v>
          </cell>
          <cell r="D591" t="str">
            <v>43716615</v>
          </cell>
          <cell r="E591">
            <v>5</v>
          </cell>
        </row>
        <row r="592">
          <cell r="A592" t="str">
            <v>17614691</v>
          </cell>
          <cell r="B592">
            <v>2</v>
          </cell>
          <cell r="D592" t="str">
            <v>43719921</v>
          </cell>
          <cell r="E592">
            <v>1</v>
          </cell>
        </row>
        <row r="593">
          <cell r="A593" t="str">
            <v>17618777</v>
          </cell>
          <cell r="B593">
            <v>2</v>
          </cell>
          <cell r="D593" t="str">
            <v>43743374</v>
          </cell>
          <cell r="E593">
            <v>1</v>
          </cell>
        </row>
        <row r="594">
          <cell r="A594" t="str">
            <v>17623029</v>
          </cell>
          <cell r="B594">
            <v>6</v>
          </cell>
          <cell r="D594" t="str">
            <v>43747069</v>
          </cell>
          <cell r="E594">
            <v>1</v>
          </cell>
        </row>
        <row r="595">
          <cell r="A595" t="str">
            <v>17631896</v>
          </cell>
          <cell r="B595">
            <v>9</v>
          </cell>
          <cell r="D595" t="str">
            <v>43766416</v>
          </cell>
          <cell r="E595">
            <v>7</v>
          </cell>
        </row>
        <row r="596">
          <cell r="A596" t="str">
            <v>17830365</v>
          </cell>
          <cell r="B596">
            <v>1</v>
          </cell>
          <cell r="D596" t="str">
            <v>43769314</v>
          </cell>
          <cell r="E596">
            <v>2</v>
          </cell>
        </row>
        <row r="597">
          <cell r="A597" t="str">
            <v>17855343</v>
          </cell>
          <cell r="B597">
            <v>2</v>
          </cell>
          <cell r="D597" t="str">
            <v>43779743</v>
          </cell>
          <cell r="E597">
            <v>2</v>
          </cell>
        </row>
        <row r="598">
          <cell r="A598" t="str">
            <v>17857853</v>
          </cell>
          <cell r="B598">
            <v>7</v>
          </cell>
          <cell r="D598" t="str">
            <v>43780922</v>
          </cell>
          <cell r="E598">
            <v>1</v>
          </cell>
        </row>
        <row r="599">
          <cell r="A599" t="str">
            <v>17918586</v>
          </cell>
          <cell r="B599">
            <v>13</v>
          </cell>
          <cell r="D599" t="str">
            <v>43787793</v>
          </cell>
          <cell r="E599">
            <v>6</v>
          </cell>
        </row>
        <row r="600">
          <cell r="A600" t="str">
            <v>17930260</v>
          </cell>
          <cell r="B600">
            <v>30</v>
          </cell>
          <cell r="D600" t="str">
            <v>43812258</v>
          </cell>
          <cell r="E600">
            <v>1</v>
          </cell>
        </row>
        <row r="601">
          <cell r="A601" t="str">
            <v>18006469</v>
          </cell>
          <cell r="B601">
            <v>9</v>
          </cell>
          <cell r="D601" t="str">
            <v>43840210</v>
          </cell>
          <cell r="E601">
            <v>45</v>
          </cell>
        </row>
        <row r="602">
          <cell r="A602" t="str">
            <v>18027613</v>
          </cell>
          <cell r="B602">
            <v>19</v>
          </cell>
          <cell r="D602" t="str">
            <v>43843030</v>
          </cell>
          <cell r="E602">
            <v>1</v>
          </cell>
        </row>
        <row r="603">
          <cell r="A603" t="str">
            <v>18071319</v>
          </cell>
          <cell r="B603">
            <v>17</v>
          </cell>
          <cell r="D603" t="str">
            <v>43847958</v>
          </cell>
          <cell r="E603">
            <v>9</v>
          </cell>
        </row>
        <row r="604">
          <cell r="A604" t="str">
            <v>18072932</v>
          </cell>
          <cell r="B604">
            <v>20</v>
          </cell>
          <cell r="D604" t="str">
            <v>43849901</v>
          </cell>
          <cell r="E604">
            <v>2</v>
          </cell>
        </row>
        <row r="605">
          <cell r="A605" t="str">
            <v>18078556</v>
          </cell>
          <cell r="B605">
            <v>6</v>
          </cell>
          <cell r="D605" t="str">
            <v>43882891</v>
          </cell>
          <cell r="E605">
            <v>1</v>
          </cell>
        </row>
        <row r="606">
          <cell r="A606" t="str">
            <v>18081776</v>
          </cell>
          <cell r="B606">
            <v>9</v>
          </cell>
          <cell r="D606" t="str">
            <v>43895621</v>
          </cell>
          <cell r="E606">
            <v>2</v>
          </cell>
        </row>
        <row r="607">
          <cell r="A607" t="str">
            <v>18083594</v>
          </cell>
          <cell r="B607">
            <v>2</v>
          </cell>
          <cell r="D607" t="str">
            <v>43909283</v>
          </cell>
          <cell r="E607">
            <v>1</v>
          </cell>
        </row>
        <row r="608">
          <cell r="A608" t="str">
            <v>18086962</v>
          </cell>
          <cell r="B608">
            <v>8</v>
          </cell>
          <cell r="D608" t="str">
            <v>43923690</v>
          </cell>
          <cell r="E608">
            <v>10</v>
          </cell>
        </row>
        <row r="609">
          <cell r="A609" t="str">
            <v>18091022</v>
          </cell>
          <cell r="B609">
            <v>1</v>
          </cell>
          <cell r="D609" t="str">
            <v>43931357</v>
          </cell>
          <cell r="E609">
            <v>4</v>
          </cell>
        </row>
        <row r="610">
          <cell r="A610" t="str">
            <v>18107113</v>
          </cell>
          <cell r="B610">
            <v>7</v>
          </cell>
          <cell r="D610" t="str">
            <v>43936108</v>
          </cell>
          <cell r="E610">
            <v>4</v>
          </cell>
        </row>
        <row r="611">
          <cell r="A611" t="str">
            <v>18112333</v>
          </cell>
          <cell r="B611">
            <v>9</v>
          </cell>
          <cell r="D611" t="str">
            <v>43954553</v>
          </cell>
          <cell r="E611">
            <v>4</v>
          </cell>
        </row>
        <row r="612">
          <cell r="A612" t="str">
            <v>18129002</v>
          </cell>
          <cell r="B612">
            <v>4</v>
          </cell>
          <cell r="D612" t="str">
            <v>43991738</v>
          </cell>
          <cell r="E612">
            <v>1</v>
          </cell>
        </row>
        <row r="613">
          <cell r="A613" t="str">
            <v>18133060</v>
          </cell>
          <cell r="B613">
            <v>12</v>
          </cell>
          <cell r="D613" t="str">
            <v>43997154</v>
          </cell>
          <cell r="E613">
            <v>4</v>
          </cell>
        </row>
        <row r="614">
          <cell r="A614" t="str">
            <v>18138878</v>
          </cell>
          <cell r="B614">
            <v>8</v>
          </cell>
          <cell r="D614" t="str">
            <v>43999969</v>
          </cell>
          <cell r="E614">
            <v>1</v>
          </cell>
        </row>
        <row r="615">
          <cell r="A615" t="str">
            <v>18138938</v>
          </cell>
          <cell r="B615">
            <v>6</v>
          </cell>
          <cell r="D615" t="str">
            <v>44011358</v>
          </cell>
          <cell r="E615">
            <v>1</v>
          </cell>
        </row>
        <row r="616">
          <cell r="A616" t="str">
            <v>18139143</v>
          </cell>
          <cell r="B616">
            <v>6</v>
          </cell>
          <cell r="D616" t="str">
            <v>44018751</v>
          </cell>
          <cell r="E616">
            <v>1</v>
          </cell>
        </row>
        <row r="617">
          <cell r="A617" t="str">
            <v>18139309</v>
          </cell>
          <cell r="B617">
            <v>13</v>
          </cell>
          <cell r="D617" t="str">
            <v>44020387</v>
          </cell>
          <cell r="E617">
            <v>1</v>
          </cell>
        </row>
        <row r="618">
          <cell r="A618" t="str">
            <v>18142910</v>
          </cell>
          <cell r="B618">
            <v>44</v>
          </cell>
          <cell r="D618" t="str">
            <v>44069159</v>
          </cell>
          <cell r="E618">
            <v>2</v>
          </cell>
        </row>
        <row r="619">
          <cell r="A619" t="str">
            <v>18151328</v>
          </cell>
          <cell r="B619">
            <v>3</v>
          </cell>
          <cell r="D619" t="str">
            <v>44081344</v>
          </cell>
          <cell r="E619">
            <v>1</v>
          </cell>
        </row>
        <row r="620">
          <cell r="A620" t="str">
            <v>18153028</v>
          </cell>
          <cell r="B620">
            <v>109</v>
          </cell>
          <cell r="D620" t="str">
            <v>44106775</v>
          </cell>
          <cell r="E620">
            <v>1</v>
          </cell>
        </row>
        <row r="621">
          <cell r="A621" t="str">
            <v>18156186</v>
          </cell>
          <cell r="B621">
            <v>12</v>
          </cell>
          <cell r="D621" t="str">
            <v>44108491</v>
          </cell>
          <cell r="E621">
            <v>2</v>
          </cell>
        </row>
        <row r="622">
          <cell r="A622" t="str">
            <v>18161766</v>
          </cell>
          <cell r="B622">
            <v>2</v>
          </cell>
          <cell r="D622" t="str">
            <v>44111068</v>
          </cell>
          <cell r="E622">
            <v>1</v>
          </cell>
        </row>
        <row r="623">
          <cell r="A623" t="str">
            <v>18176834</v>
          </cell>
          <cell r="B623">
            <v>30</v>
          </cell>
          <cell r="D623" t="str">
            <v>44125283</v>
          </cell>
          <cell r="E623">
            <v>2</v>
          </cell>
        </row>
        <row r="624">
          <cell r="A624" t="str">
            <v>18177546</v>
          </cell>
          <cell r="B624">
            <v>51</v>
          </cell>
          <cell r="D624" t="str">
            <v>44135444</v>
          </cell>
          <cell r="E624">
            <v>1</v>
          </cell>
        </row>
        <row r="625">
          <cell r="A625" t="str">
            <v>18179423</v>
          </cell>
          <cell r="B625">
            <v>1</v>
          </cell>
          <cell r="D625" t="str">
            <v>44151715</v>
          </cell>
          <cell r="E625">
            <v>1</v>
          </cell>
        </row>
        <row r="626">
          <cell r="A626" t="str">
            <v>18182773</v>
          </cell>
          <cell r="B626">
            <v>4</v>
          </cell>
          <cell r="D626" t="str">
            <v>44170904</v>
          </cell>
          <cell r="E626">
            <v>9</v>
          </cell>
        </row>
        <row r="627">
          <cell r="A627" t="str">
            <v>18184041</v>
          </cell>
          <cell r="B627">
            <v>5</v>
          </cell>
          <cell r="D627" t="str">
            <v>44179875</v>
          </cell>
          <cell r="E627">
            <v>1</v>
          </cell>
        </row>
        <row r="628">
          <cell r="A628" t="str">
            <v>18187397</v>
          </cell>
          <cell r="B628">
            <v>9</v>
          </cell>
          <cell r="D628" t="str">
            <v>44182252</v>
          </cell>
          <cell r="E628">
            <v>1</v>
          </cell>
        </row>
        <row r="629">
          <cell r="A629" t="str">
            <v>18196674</v>
          </cell>
          <cell r="B629">
            <v>1</v>
          </cell>
          <cell r="D629" t="str">
            <v>44182405</v>
          </cell>
          <cell r="E629">
            <v>7</v>
          </cell>
        </row>
        <row r="630">
          <cell r="A630" t="str">
            <v>18202011</v>
          </cell>
          <cell r="B630">
            <v>24</v>
          </cell>
          <cell r="D630" t="str">
            <v>44205309</v>
          </cell>
          <cell r="E630">
            <v>2</v>
          </cell>
        </row>
        <row r="631">
          <cell r="A631" t="str">
            <v>18204265</v>
          </cell>
          <cell r="B631">
            <v>6</v>
          </cell>
          <cell r="D631" t="str">
            <v>44231517</v>
          </cell>
          <cell r="E631">
            <v>1</v>
          </cell>
        </row>
        <row r="632">
          <cell r="A632" t="str">
            <v>18205167</v>
          </cell>
          <cell r="B632">
            <v>2</v>
          </cell>
          <cell r="D632" t="str">
            <v>44236704</v>
          </cell>
          <cell r="E632">
            <v>3</v>
          </cell>
        </row>
        <row r="633">
          <cell r="A633" t="str">
            <v>18205453</v>
          </cell>
          <cell r="B633">
            <v>1</v>
          </cell>
          <cell r="D633" t="str">
            <v>44244397</v>
          </cell>
          <cell r="E633">
            <v>3</v>
          </cell>
        </row>
        <row r="634">
          <cell r="A634" t="str">
            <v>18209214</v>
          </cell>
          <cell r="B634">
            <v>3</v>
          </cell>
          <cell r="D634" t="str">
            <v>44254123</v>
          </cell>
          <cell r="E634">
            <v>1</v>
          </cell>
        </row>
        <row r="635">
          <cell r="A635" t="str">
            <v>18210033</v>
          </cell>
          <cell r="B635">
            <v>25</v>
          </cell>
          <cell r="D635" t="str">
            <v>44254829</v>
          </cell>
          <cell r="E635">
            <v>1</v>
          </cell>
        </row>
        <row r="636">
          <cell r="A636" t="str">
            <v>18216655</v>
          </cell>
          <cell r="B636">
            <v>88</v>
          </cell>
          <cell r="D636" t="str">
            <v>44266640</v>
          </cell>
          <cell r="E636">
            <v>4</v>
          </cell>
        </row>
        <row r="637">
          <cell r="A637" t="str">
            <v>18220504</v>
          </cell>
          <cell r="B637">
            <v>22</v>
          </cell>
          <cell r="D637" t="str">
            <v>44273857</v>
          </cell>
          <cell r="E637">
            <v>4</v>
          </cell>
        </row>
        <row r="638">
          <cell r="A638" t="str">
            <v>18226069</v>
          </cell>
          <cell r="B638">
            <v>3</v>
          </cell>
          <cell r="D638" t="str">
            <v>44278797</v>
          </cell>
          <cell r="E638">
            <v>5</v>
          </cell>
        </row>
        <row r="639">
          <cell r="A639" t="str">
            <v>18823541</v>
          </cell>
          <cell r="B639">
            <v>1</v>
          </cell>
          <cell r="D639" t="str">
            <v>44302722</v>
          </cell>
          <cell r="E639">
            <v>2</v>
          </cell>
        </row>
        <row r="640">
          <cell r="A640" t="str">
            <v>18827867</v>
          </cell>
          <cell r="B640">
            <v>15</v>
          </cell>
          <cell r="D640" t="str">
            <v>44302931</v>
          </cell>
          <cell r="E640">
            <v>1</v>
          </cell>
        </row>
        <row r="641">
          <cell r="A641" t="str">
            <v>18877415</v>
          </cell>
          <cell r="B641">
            <v>18</v>
          </cell>
          <cell r="D641" t="str">
            <v>44337556</v>
          </cell>
          <cell r="E641">
            <v>1</v>
          </cell>
        </row>
        <row r="642">
          <cell r="A642" t="str">
            <v>18887778</v>
          </cell>
          <cell r="B642">
            <v>12</v>
          </cell>
          <cell r="D642" t="str">
            <v>44360451</v>
          </cell>
          <cell r="E642">
            <v>3</v>
          </cell>
        </row>
        <row r="643">
          <cell r="A643" t="str">
            <v>18887897</v>
          </cell>
          <cell r="B643">
            <v>6</v>
          </cell>
          <cell r="D643" t="str">
            <v>44383981</v>
          </cell>
          <cell r="E643">
            <v>14</v>
          </cell>
        </row>
        <row r="644">
          <cell r="A644" t="str">
            <v>18892937</v>
          </cell>
          <cell r="B644">
            <v>6</v>
          </cell>
          <cell r="D644" t="str">
            <v>44384032</v>
          </cell>
          <cell r="E644">
            <v>2</v>
          </cell>
        </row>
        <row r="645">
          <cell r="A645" t="str">
            <v>18906465</v>
          </cell>
          <cell r="B645">
            <v>52</v>
          </cell>
          <cell r="D645" t="str">
            <v>44400589</v>
          </cell>
          <cell r="E645">
            <v>1</v>
          </cell>
        </row>
        <row r="646">
          <cell r="A646" t="str">
            <v>19055592</v>
          </cell>
          <cell r="B646">
            <v>22</v>
          </cell>
          <cell r="D646" t="str">
            <v>44409504</v>
          </cell>
          <cell r="E646">
            <v>2</v>
          </cell>
        </row>
        <row r="647">
          <cell r="A647" t="str">
            <v>19092038</v>
          </cell>
          <cell r="B647">
            <v>10</v>
          </cell>
          <cell r="D647" t="str">
            <v>44442143</v>
          </cell>
          <cell r="E647">
            <v>1</v>
          </cell>
        </row>
        <row r="648">
          <cell r="A648" t="str">
            <v>19099168</v>
          </cell>
          <cell r="B648">
            <v>7</v>
          </cell>
          <cell r="D648" t="str">
            <v>44464561</v>
          </cell>
          <cell r="E648">
            <v>3</v>
          </cell>
        </row>
        <row r="649">
          <cell r="A649" t="str">
            <v>19100079</v>
          </cell>
          <cell r="B649">
            <v>15</v>
          </cell>
          <cell r="D649" t="str">
            <v>44480372</v>
          </cell>
          <cell r="E649">
            <v>2</v>
          </cell>
        </row>
        <row r="650">
          <cell r="A650" t="str">
            <v>19188425</v>
          </cell>
          <cell r="B650">
            <v>10</v>
          </cell>
          <cell r="D650" t="str">
            <v>44493242</v>
          </cell>
          <cell r="E650">
            <v>6</v>
          </cell>
        </row>
        <row r="651">
          <cell r="A651" t="str">
            <v>19188701</v>
          </cell>
          <cell r="B651">
            <v>2</v>
          </cell>
          <cell r="D651" t="str">
            <v>44526260</v>
          </cell>
          <cell r="E651">
            <v>4</v>
          </cell>
        </row>
        <row r="652">
          <cell r="A652" t="str">
            <v>19191146</v>
          </cell>
          <cell r="B652">
            <v>3</v>
          </cell>
          <cell r="D652" t="str">
            <v>44531847</v>
          </cell>
          <cell r="E652">
            <v>1</v>
          </cell>
        </row>
        <row r="653">
          <cell r="A653" t="str">
            <v>19211482</v>
          </cell>
          <cell r="B653">
            <v>25</v>
          </cell>
          <cell r="D653" t="str">
            <v>44535925</v>
          </cell>
          <cell r="E653">
            <v>2</v>
          </cell>
        </row>
        <row r="654">
          <cell r="A654" t="str">
            <v>19211621</v>
          </cell>
          <cell r="B654">
            <v>82</v>
          </cell>
          <cell r="D654" t="str">
            <v>44540534</v>
          </cell>
          <cell r="E654">
            <v>2</v>
          </cell>
        </row>
        <row r="655">
          <cell r="A655" t="str">
            <v>19231757</v>
          </cell>
          <cell r="B655">
            <v>11</v>
          </cell>
          <cell r="D655" t="str">
            <v>44548171</v>
          </cell>
          <cell r="E655">
            <v>1</v>
          </cell>
        </row>
        <row r="656">
          <cell r="A656" t="str">
            <v>19248960</v>
          </cell>
          <cell r="B656">
            <v>5</v>
          </cell>
          <cell r="D656" t="str">
            <v>44557208</v>
          </cell>
          <cell r="E656">
            <v>1</v>
          </cell>
        </row>
        <row r="657">
          <cell r="A657" t="str">
            <v>19261047</v>
          </cell>
          <cell r="B657">
            <v>8</v>
          </cell>
          <cell r="D657" t="str">
            <v>44564943</v>
          </cell>
          <cell r="E657">
            <v>2</v>
          </cell>
        </row>
        <row r="658">
          <cell r="A658" t="str">
            <v>19261072</v>
          </cell>
          <cell r="B658">
            <v>6</v>
          </cell>
          <cell r="D658" t="str">
            <v>44567308</v>
          </cell>
          <cell r="E658">
            <v>1</v>
          </cell>
        </row>
        <row r="659">
          <cell r="A659" t="str">
            <v>19329808</v>
          </cell>
          <cell r="B659">
            <v>4</v>
          </cell>
          <cell r="D659" t="str">
            <v>44633646</v>
          </cell>
          <cell r="E659">
            <v>1</v>
          </cell>
        </row>
        <row r="660">
          <cell r="A660" t="str">
            <v>19333888</v>
          </cell>
          <cell r="B660">
            <v>1</v>
          </cell>
          <cell r="D660" t="str">
            <v>44634251</v>
          </cell>
          <cell r="E660">
            <v>1</v>
          </cell>
        </row>
        <row r="661">
          <cell r="A661" t="str">
            <v>19337867</v>
          </cell>
          <cell r="B661">
            <v>62</v>
          </cell>
          <cell r="D661" t="str">
            <v>44637629</v>
          </cell>
          <cell r="E661">
            <v>1</v>
          </cell>
        </row>
        <row r="662">
          <cell r="A662" t="str">
            <v>19428856</v>
          </cell>
          <cell r="B662">
            <v>1</v>
          </cell>
          <cell r="D662" t="str">
            <v>44644174</v>
          </cell>
          <cell r="E662">
            <v>1</v>
          </cell>
        </row>
        <row r="663">
          <cell r="A663" t="str">
            <v>19434597</v>
          </cell>
          <cell r="B663">
            <v>2</v>
          </cell>
          <cell r="D663" t="str">
            <v>44651281</v>
          </cell>
          <cell r="E663">
            <v>27</v>
          </cell>
        </row>
        <row r="664">
          <cell r="A664" t="str">
            <v>19569561</v>
          </cell>
          <cell r="B664">
            <v>27</v>
          </cell>
          <cell r="D664" t="str">
            <v>44667202</v>
          </cell>
          <cell r="E664">
            <v>8</v>
          </cell>
        </row>
        <row r="665">
          <cell r="A665" t="str">
            <v>19700319</v>
          </cell>
          <cell r="B665">
            <v>2</v>
          </cell>
          <cell r="D665" t="str">
            <v>44699453</v>
          </cell>
          <cell r="E665">
            <v>1</v>
          </cell>
        </row>
        <row r="666">
          <cell r="A666" t="str">
            <v>19805543</v>
          </cell>
          <cell r="B666">
            <v>77</v>
          </cell>
          <cell r="D666" t="str">
            <v>44699825</v>
          </cell>
          <cell r="E666">
            <v>1</v>
          </cell>
        </row>
        <row r="667">
          <cell r="A667" t="str">
            <v>19817529</v>
          </cell>
          <cell r="B667">
            <v>11</v>
          </cell>
          <cell r="D667" t="str">
            <v>44705354</v>
          </cell>
          <cell r="E667">
            <v>2</v>
          </cell>
        </row>
        <row r="668">
          <cell r="A668" t="str">
            <v>19898264</v>
          </cell>
          <cell r="B668">
            <v>54</v>
          </cell>
          <cell r="D668" t="str">
            <v>44731436</v>
          </cell>
          <cell r="E668">
            <v>1</v>
          </cell>
        </row>
        <row r="669">
          <cell r="A669" t="str">
            <v>19973153</v>
          </cell>
          <cell r="B669">
            <v>4</v>
          </cell>
          <cell r="D669" t="str">
            <v>44745787</v>
          </cell>
          <cell r="E669">
            <v>1</v>
          </cell>
        </row>
        <row r="670">
          <cell r="A670" t="str">
            <v>20017871</v>
          </cell>
          <cell r="B670">
            <v>11</v>
          </cell>
          <cell r="D670" t="str">
            <v>44772996</v>
          </cell>
          <cell r="E670">
            <v>1</v>
          </cell>
        </row>
        <row r="671">
          <cell r="A671" t="str">
            <v>20019298</v>
          </cell>
          <cell r="B671">
            <v>2</v>
          </cell>
          <cell r="D671" t="str">
            <v>44779732</v>
          </cell>
          <cell r="E671">
            <v>3</v>
          </cell>
        </row>
        <row r="672">
          <cell r="A672" t="str">
            <v>20019416</v>
          </cell>
          <cell r="B672">
            <v>7</v>
          </cell>
          <cell r="D672" t="str">
            <v>44781265</v>
          </cell>
          <cell r="E672">
            <v>2</v>
          </cell>
        </row>
        <row r="673">
          <cell r="A673" t="str">
            <v>20024104</v>
          </cell>
          <cell r="B673">
            <v>12</v>
          </cell>
          <cell r="D673" t="str">
            <v>44788622</v>
          </cell>
          <cell r="E673">
            <v>1</v>
          </cell>
        </row>
        <row r="674">
          <cell r="A674" t="str">
            <v>20026437</v>
          </cell>
          <cell r="B674">
            <v>15</v>
          </cell>
          <cell r="D674" t="str">
            <v>44798211</v>
          </cell>
          <cell r="E674">
            <v>2</v>
          </cell>
        </row>
        <row r="675">
          <cell r="A675" t="str">
            <v>20028932</v>
          </cell>
          <cell r="B675">
            <v>12</v>
          </cell>
          <cell r="D675" t="str">
            <v>44805357</v>
          </cell>
          <cell r="E675">
            <v>1</v>
          </cell>
        </row>
        <row r="676">
          <cell r="A676" t="str">
            <v>20030820</v>
          </cell>
          <cell r="B676">
            <v>45</v>
          </cell>
          <cell r="D676" t="str">
            <v>44816066</v>
          </cell>
          <cell r="E676">
            <v>7</v>
          </cell>
        </row>
        <row r="677">
          <cell r="A677" t="str">
            <v>20039875</v>
          </cell>
          <cell r="B677">
            <v>2</v>
          </cell>
          <cell r="D677" t="str">
            <v>44823990</v>
          </cell>
          <cell r="E677">
            <v>1</v>
          </cell>
        </row>
        <row r="678">
          <cell r="A678" t="str">
            <v>20045283</v>
          </cell>
          <cell r="B678">
            <v>31</v>
          </cell>
          <cell r="D678" t="str">
            <v>44857475</v>
          </cell>
          <cell r="E678">
            <v>1</v>
          </cell>
        </row>
        <row r="679">
          <cell r="A679" t="str">
            <v>20053328</v>
          </cell>
          <cell r="B679">
            <v>2</v>
          </cell>
          <cell r="D679" t="str">
            <v>44863470</v>
          </cell>
          <cell r="E679">
            <v>2</v>
          </cell>
        </row>
        <row r="680">
          <cell r="A680" t="str">
            <v>20060773</v>
          </cell>
          <cell r="B680">
            <v>21</v>
          </cell>
          <cell r="D680" t="str">
            <v>44909042</v>
          </cell>
          <cell r="E680">
            <v>1</v>
          </cell>
        </row>
        <row r="681">
          <cell r="A681" t="str">
            <v>20062417</v>
          </cell>
          <cell r="B681">
            <v>1</v>
          </cell>
          <cell r="D681" t="str">
            <v>44929866</v>
          </cell>
          <cell r="E681">
            <v>1</v>
          </cell>
        </row>
        <row r="682">
          <cell r="A682" t="str">
            <v>20066514</v>
          </cell>
          <cell r="B682">
            <v>2</v>
          </cell>
          <cell r="D682" t="str">
            <v>44936864</v>
          </cell>
          <cell r="E682">
            <v>4</v>
          </cell>
        </row>
        <row r="683">
          <cell r="A683" t="str">
            <v>20068374</v>
          </cell>
          <cell r="B683">
            <v>217</v>
          </cell>
          <cell r="D683" t="str">
            <v>44949831</v>
          </cell>
          <cell r="E683">
            <v>18</v>
          </cell>
        </row>
        <row r="684">
          <cell r="A684" t="str">
            <v>20069726</v>
          </cell>
          <cell r="B684">
            <v>3</v>
          </cell>
          <cell r="D684" t="str">
            <v>44950620</v>
          </cell>
          <cell r="E684">
            <v>1</v>
          </cell>
        </row>
        <row r="685">
          <cell r="A685" t="str">
            <v>20071886</v>
          </cell>
          <cell r="B685">
            <v>129</v>
          </cell>
          <cell r="D685" t="str">
            <v>44972345</v>
          </cell>
          <cell r="E685">
            <v>1</v>
          </cell>
        </row>
        <row r="686">
          <cell r="A686" t="str">
            <v>20074968</v>
          </cell>
          <cell r="B686">
            <v>13</v>
          </cell>
          <cell r="D686" t="str">
            <v>44972560</v>
          </cell>
          <cell r="E686">
            <v>3</v>
          </cell>
        </row>
        <row r="687">
          <cell r="A687" t="str">
            <v>20077868</v>
          </cell>
          <cell r="B687">
            <v>3</v>
          </cell>
          <cell r="D687" t="str">
            <v>44996818</v>
          </cell>
          <cell r="E687">
            <v>6</v>
          </cell>
        </row>
        <row r="688">
          <cell r="A688" t="str">
            <v>20083302</v>
          </cell>
          <cell r="B688">
            <v>7</v>
          </cell>
          <cell r="D688" t="str">
            <v>44999880</v>
          </cell>
          <cell r="E688">
            <v>1</v>
          </cell>
        </row>
        <row r="689">
          <cell r="A689" t="str">
            <v>20089057</v>
          </cell>
          <cell r="B689">
            <v>11</v>
          </cell>
          <cell r="D689" t="str">
            <v>45011332</v>
          </cell>
          <cell r="E689">
            <v>12</v>
          </cell>
        </row>
        <row r="690">
          <cell r="A690" t="str">
            <v>20102544</v>
          </cell>
          <cell r="B690">
            <v>7</v>
          </cell>
          <cell r="D690" t="str">
            <v>45038863</v>
          </cell>
          <cell r="E690">
            <v>1</v>
          </cell>
        </row>
        <row r="691">
          <cell r="A691" t="str">
            <v>20104794</v>
          </cell>
          <cell r="B691">
            <v>7</v>
          </cell>
          <cell r="D691" t="str">
            <v>45061899</v>
          </cell>
          <cell r="E691">
            <v>1</v>
          </cell>
        </row>
        <row r="692">
          <cell r="A692" t="str">
            <v>20116680</v>
          </cell>
          <cell r="B692">
            <v>7</v>
          </cell>
          <cell r="D692" t="str">
            <v>45080974</v>
          </cell>
          <cell r="E692">
            <v>1</v>
          </cell>
        </row>
        <row r="693">
          <cell r="A693" t="str">
            <v>20117414</v>
          </cell>
          <cell r="B693">
            <v>15</v>
          </cell>
          <cell r="D693" t="str">
            <v>45096335</v>
          </cell>
          <cell r="E693">
            <v>7</v>
          </cell>
        </row>
        <row r="694">
          <cell r="A694" t="str">
            <v>20120232</v>
          </cell>
          <cell r="B694">
            <v>4</v>
          </cell>
          <cell r="D694" t="str">
            <v>45098574</v>
          </cell>
          <cell r="E694">
            <v>3</v>
          </cell>
        </row>
        <row r="695">
          <cell r="A695" t="str">
            <v>20428719</v>
          </cell>
          <cell r="B695">
            <v>6</v>
          </cell>
          <cell r="D695" t="str">
            <v>45102189</v>
          </cell>
          <cell r="E695">
            <v>13</v>
          </cell>
        </row>
        <row r="696">
          <cell r="A696" t="str">
            <v>20436246</v>
          </cell>
          <cell r="B696">
            <v>1</v>
          </cell>
          <cell r="D696" t="str">
            <v>45130381</v>
          </cell>
          <cell r="E696">
            <v>2</v>
          </cell>
        </row>
        <row r="697">
          <cell r="A697" t="str">
            <v>20437995</v>
          </cell>
          <cell r="B697">
            <v>35</v>
          </cell>
          <cell r="D697" t="str">
            <v>45152088</v>
          </cell>
          <cell r="E697">
            <v>4</v>
          </cell>
        </row>
        <row r="698">
          <cell r="A698" t="str">
            <v>20520508</v>
          </cell>
          <cell r="B698">
            <v>1</v>
          </cell>
          <cell r="D698" t="str">
            <v>45160681</v>
          </cell>
          <cell r="E698">
            <v>2</v>
          </cell>
        </row>
        <row r="699">
          <cell r="A699" t="str">
            <v>20555944</v>
          </cell>
          <cell r="B699">
            <v>92</v>
          </cell>
          <cell r="D699" t="str">
            <v>45186428</v>
          </cell>
          <cell r="E699">
            <v>5</v>
          </cell>
        </row>
        <row r="700">
          <cell r="A700" t="str">
            <v>20566025</v>
          </cell>
          <cell r="B700">
            <v>7</v>
          </cell>
          <cell r="D700" t="str">
            <v>45189835</v>
          </cell>
          <cell r="E700">
            <v>1</v>
          </cell>
        </row>
        <row r="701">
          <cell r="A701" t="str">
            <v>20573687</v>
          </cell>
          <cell r="B701">
            <v>109</v>
          </cell>
          <cell r="D701" t="str">
            <v>45209432</v>
          </cell>
          <cell r="E701">
            <v>22</v>
          </cell>
        </row>
        <row r="702">
          <cell r="A702" t="str">
            <v>20578038</v>
          </cell>
          <cell r="B702">
            <v>2</v>
          </cell>
          <cell r="D702" t="str">
            <v>45211730</v>
          </cell>
          <cell r="E702">
            <v>1</v>
          </cell>
        </row>
        <row r="703">
          <cell r="A703" t="str">
            <v>20588269</v>
          </cell>
          <cell r="B703">
            <v>5</v>
          </cell>
          <cell r="D703" t="str">
            <v>45226619</v>
          </cell>
          <cell r="E703">
            <v>12</v>
          </cell>
        </row>
        <row r="704">
          <cell r="A704" t="str">
            <v>20595038</v>
          </cell>
          <cell r="B704">
            <v>54</v>
          </cell>
          <cell r="D704" t="str">
            <v>45230938</v>
          </cell>
          <cell r="E704">
            <v>1</v>
          </cell>
        </row>
        <row r="705">
          <cell r="A705" t="str">
            <v>20642645</v>
          </cell>
          <cell r="B705">
            <v>11</v>
          </cell>
          <cell r="D705" t="str">
            <v>45240944</v>
          </cell>
          <cell r="E705">
            <v>1</v>
          </cell>
        </row>
        <row r="706">
          <cell r="A706" t="str">
            <v>20648528</v>
          </cell>
          <cell r="B706">
            <v>6</v>
          </cell>
          <cell r="D706" t="str">
            <v>45254547</v>
          </cell>
          <cell r="E706">
            <v>1</v>
          </cell>
        </row>
        <row r="707">
          <cell r="A707" t="str">
            <v>20671092</v>
          </cell>
          <cell r="B707">
            <v>50</v>
          </cell>
          <cell r="D707" t="str">
            <v>45265104</v>
          </cell>
          <cell r="E707">
            <v>6</v>
          </cell>
        </row>
        <row r="708">
          <cell r="A708" t="str">
            <v>20688905</v>
          </cell>
          <cell r="B708">
            <v>6</v>
          </cell>
          <cell r="D708" t="str">
            <v>45269744</v>
          </cell>
          <cell r="E708">
            <v>1</v>
          </cell>
        </row>
        <row r="709">
          <cell r="A709" t="str">
            <v>20721909</v>
          </cell>
          <cell r="B709">
            <v>8</v>
          </cell>
          <cell r="D709" t="str">
            <v>45275018</v>
          </cell>
          <cell r="E709">
            <v>1</v>
          </cell>
        </row>
        <row r="710">
          <cell r="A710" t="str">
            <v>20722600</v>
          </cell>
          <cell r="B710">
            <v>7</v>
          </cell>
          <cell r="D710" t="str">
            <v>45302716</v>
          </cell>
          <cell r="E710">
            <v>1</v>
          </cell>
        </row>
        <row r="711">
          <cell r="A711" t="str">
            <v>20724153</v>
          </cell>
          <cell r="B711">
            <v>7</v>
          </cell>
          <cell r="D711" t="str">
            <v>45313046</v>
          </cell>
          <cell r="E711">
            <v>13</v>
          </cell>
        </row>
        <row r="712">
          <cell r="A712" t="str">
            <v>20724841</v>
          </cell>
          <cell r="B712">
            <v>8</v>
          </cell>
          <cell r="D712" t="str">
            <v>45321540</v>
          </cell>
          <cell r="E712">
            <v>1</v>
          </cell>
        </row>
        <row r="713">
          <cell r="A713" t="str">
            <v>20725021</v>
          </cell>
          <cell r="B713">
            <v>11</v>
          </cell>
          <cell r="D713" t="str">
            <v>45329710</v>
          </cell>
          <cell r="E713">
            <v>1</v>
          </cell>
        </row>
        <row r="714">
          <cell r="A714" t="str">
            <v>20725161</v>
          </cell>
          <cell r="B714">
            <v>16</v>
          </cell>
          <cell r="D714" t="str">
            <v>45340096</v>
          </cell>
          <cell r="E714">
            <v>1</v>
          </cell>
        </row>
        <row r="715">
          <cell r="A715" t="str">
            <v>20727881</v>
          </cell>
          <cell r="B715">
            <v>10</v>
          </cell>
          <cell r="D715" t="str">
            <v>45345662</v>
          </cell>
          <cell r="E715">
            <v>6</v>
          </cell>
        </row>
        <row r="716">
          <cell r="A716" t="str">
            <v>20738620</v>
          </cell>
          <cell r="B716">
            <v>8</v>
          </cell>
          <cell r="D716" t="str">
            <v>45358850</v>
          </cell>
          <cell r="E716">
            <v>1</v>
          </cell>
        </row>
        <row r="717">
          <cell r="A717" t="str">
            <v>20888024</v>
          </cell>
          <cell r="B717">
            <v>4</v>
          </cell>
          <cell r="D717" t="str">
            <v>45371603</v>
          </cell>
          <cell r="E717">
            <v>1</v>
          </cell>
        </row>
        <row r="718">
          <cell r="A718" t="str">
            <v>20894198</v>
          </cell>
          <cell r="B718">
            <v>1</v>
          </cell>
          <cell r="D718" t="str">
            <v>45376686</v>
          </cell>
          <cell r="E718">
            <v>1</v>
          </cell>
        </row>
        <row r="719">
          <cell r="A719" t="str">
            <v>20898684</v>
          </cell>
          <cell r="B719">
            <v>3</v>
          </cell>
          <cell r="D719" t="str">
            <v>45379957</v>
          </cell>
          <cell r="E719">
            <v>1</v>
          </cell>
        </row>
        <row r="720">
          <cell r="A720" t="str">
            <v>20900482</v>
          </cell>
          <cell r="B720">
            <v>7</v>
          </cell>
          <cell r="D720" t="str">
            <v>45390361</v>
          </cell>
          <cell r="E720">
            <v>12</v>
          </cell>
        </row>
        <row r="721">
          <cell r="A721" t="str">
            <v>20901383</v>
          </cell>
          <cell r="B721">
            <v>3</v>
          </cell>
          <cell r="D721" t="str">
            <v>45400983</v>
          </cell>
          <cell r="E721">
            <v>1</v>
          </cell>
        </row>
        <row r="722">
          <cell r="A722" t="str">
            <v>20961437</v>
          </cell>
          <cell r="B722">
            <v>18</v>
          </cell>
          <cell r="D722" t="str">
            <v>45428117</v>
          </cell>
          <cell r="E722">
            <v>1</v>
          </cell>
        </row>
        <row r="723">
          <cell r="A723" t="str">
            <v>20975977</v>
          </cell>
          <cell r="B723">
            <v>13</v>
          </cell>
          <cell r="D723" t="str">
            <v>45434161</v>
          </cell>
          <cell r="E723">
            <v>1</v>
          </cell>
        </row>
        <row r="724">
          <cell r="A724" t="str">
            <v>21014131</v>
          </cell>
          <cell r="B724">
            <v>1</v>
          </cell>
          <cell r="D724" t="str">
            <v>45434325</v>
          </cell>
          <cell r="E724">
            <v>1</v>
          </cell>
        </row>
        <row r="725">
          <cell r="A725" t="str">
            <v>21085788</v>
          </cell>
          <cell r="B725">
            <v>50</v>
          </cell>
          <cell r="D725" t="str">
            <v>45440960</v>
          </cell>
          <cell r="E725">
            <v>1</v>
          </cell>
        </row>
        <row r="726">
          <cell r="A726" t="str">
            <v>21116434</v>
          </cell>
          <cell r="B726">
            <v>16</v>
          </cell>
          <cell r="D726" t="str">
            <v>45443017</v>
          </cell>
          <cell r="E726">
            <v>1</v>
          </cell>
        </row>
        <row r="727">
          <cell r="A727" t="str">
            <v>21117207</v>
          </cell>
          <cell r="B727">
            <v>3</v>
          </cell>
          <cell r="D727" t="str">
            <v>45454062</v>
          </cell>
          <cell r="E727">
            <v>1</v>
          </cell>
        </row>
        <row r="728">
          <cell r="A728" t="str">
            <v>21119680</v>
          </cell>
          <cell r="B728">
            <v>2</v>
          </cell>
          <cell r="D728" t="str">
            <v>45455983</v>
          </cell>
          <cell r="E728">
            <v>1</v>
          </cell>
        </row>
        <row r="729">
          <cell r="A729" t="str">
            <v>21120224</v>
          </cell>
          <cell r="B729">
            <v>17</v>
          </cell>
          <cell r="D729" t="str">
            <v>45485268</v>
          </cell>
          <cell r="E729">
            <v>1</v>
          </cell>
        </row>
        <row r="730">
          <cell r="A730" t="str">
            <v>21120476</v>
          </cell>
          <cell r="B730">
            <v>2</v>
          </cell>
          <cell r="D730" t="str">
            <v>45486552</v>
          </cell>
          <cell r="E730">
            <v>1</v>
          </cell>
        </row>
        <row r="731">
          <cell r="A731" t="str">
            <v>21124748</v>
          </cell>
          <cell r="B731">
            <v>1</v>
          </cell>
          <cell r="D731" t="str">
            <v>45507178</v>
          </cell>
          <cell r="E731">
            <v>1</v>
          </cell>
        </row>
        <row r="732">
          <cell r="A732" t="str">
            <v>21133951</v>
          </cell>
          <cell r="B732">
            <v>4</v>
          </cell>
          <cell r="D732" t="str">
            <v>45508612</v>
          </cell>
          <cell r="E732">
            <v>1</v>
          </cell>
        </row>
        <row r="733">
          <cell r="A733" t="str">
            <v>21139270</v>
          </cell>
          <cell r="B733">
            <v>1</v>
          </cell>
          <cell r="D733" t="str">
            <v>45518666</v>
          </cell>
          <cell r="E733">
            <v>4</v>
          </cell>
        </row>
        <row r="734">
          <cell r="A734" t="str">
            <v>21143025</v>
          </cell>
          <cell r="B734">
            <v>8</v>
          </cell>
          <cell r="D734" t="str">
            <v>45519243</v>
          </cell>
          <cell r="E734">
            <v>2</v>
          </cell>
        </row>
        <row r="735">
          <cell r="A735" t="str">
            <v>21298713</v>
          </cell>
          <cell r="B735">
            <v>1</v>
          </cell>
          <cell r="D735" t="str">
            <v>45533154</v>
          </cell>
          <cell r="E735">
            <v>2</v>
          </cell>
        </row>
        <row r="736">
          <cell r="A736" t="str">
            <v>21410195</v>
          </cell>
          <cell r="B736">
            <v>3</v>
          </cell>
          <cell r="D736" t="str">
            <v>45539629</v>
          </cell>
          <cell r="E736">
            <v>2</v>
          </cell>
        </row>
        <row r="737">
          <cell r="A737" t="str">
            <v>21421368</v>
          </cell>
          <cell r="B737">
            <v>86</v>
          </cell>
          <cell r="D737" t="str">
            <v>45540071</v>
          </cell>
          <cell r="E737">
            <v>6</v>
          </cell>
        </row>
        <row r="738">
          <cell r="A738" t="str">
            <v>21459176</v>
          </cell>
          <cell r="B738">
            <v>13</v>
          </cell>
          <cell r="D738" t="str">
            <v>45542685</v>
          </cell>
          <cell r="E738">
            <v>1</v>
          </cell>
        </row>
        <row r="739">
          <cell r="A739" t="str">
            <v>21463317</v>
          </cell>
          <cell r="B739">
            <v>24</v>
          </cell>
          <cell r="D739" t="str">
            <v>45551659</v>
          </cell>
          <cell r="E739">
            <v>3</v>
          </cell>
        </row>
        <row r="740">
          <cell r="A740" t="str">
            <v>21483867</v>
          </cell>
          <cell r="B740">
            <v>5</v>
          </cell>
          <cell r="D740" t="str">
            <v>45583838</v>
          </cell>
          <cell r="E740">
            <v>1</v>
          </cell>
        </row>
        <row r="741">
          <cell r="A741" t="str">
            <v>21487383</v>
          </cell>
          <cell r="B741">
            <v>6</v>
          </cell>
          <cell r="D741" t="str">
            <v>45595706</v>
          </cell>
          <cell r="E741">
            <v>1</v>
          </cell>
        </row>
        <row r="742">
          <cell r="A742" t="str">
            <v>21497847</v>
          </cell>
          <cell r="B742">
            <v>13</v>
          </cell>
          <cell r="D742" t="str">
            <v>45621310</v>
          </cell>
          <cell r="E742">
            <v>7</v>
          </cell>
        </row>
        <row r="743">
          <cell r="A743" t="str">
            <v>21520760</v>
          </cell>
          <cell r="B743">
            <v>113</v>
          </cell>
          <cell r="D743" t="str">
            <v>45634069</v>
          </cell>
          <cell r="E743">
            <v>2</v>
          </cell>
        </row>
        <row r="744">
          <cell r="A744" t="str">
            <v>21528065</v>
          </cell>
          <cell r="B744">
            <v>21</v>
          </cell>
          <cell r="D744" t="str">
            <v>45638003</v>
          </cell>
          <cell r="E744">
            <v>1</v>
          </cell>
        </row>
        <row r="745">
          <cell r="A745" t="str">
            <v>21539106</v>
          </cell>
          <cell r="B745">
            <v>1</v>
          </cell>
          <cell r="D745" t="str">
            <v>45648483</v>
          </cell>
          <cell r="E745">
            <v>2</v>
          </cell>
        </row>
        <row r="746">
          <cell r="A746" t="str">
            <v>21545230</v>
          </cell>
          <cell r="B746">
            <v>11</v>
          </cell>
          <cell r="D746" t="str">
            <v>45659384</v>
          </cell>
          <cell r="E746">
            <v>1</v>
          </cell>
        </row>
        <row r="747">
          <cell r="A747" t="str">
            <v>21564690</v>
          </cell>
          <cell r="B747">
            <v>26</v>
          </cell>
          <cell r="D747" t="str">
            <v>45685167</v>
          </cell>
          <cell r="E747">
            <v>1</v>
          </cell>
        </row>
        <row r="748">
          <cell r="A748" t="str">
            <v>21569430</v>
          </cell>
          <cell r="B748">
            <v>4</v>
          </cell>
          <cell r="D748" t="str">
            <v>45720055</v>
          </cell>
          <cell r="E748">
            <v>9</v>
          </cell>
        </row>
        <row r="749">
          <cell r="A749" t="str">
            <v>21571383</v>
          </cell>
          <cell r="B749">
            <v>29</v>
          </cell>
          <cell r="D749" t="str">
            <v>45729396</v>
          </cell>
          <cell r="E749">
            <v>1</v>
          </cell>
        </row>
        <row r="750">
          <cell r="A750" t="str">
            <v>21574900</v>
          </cell>
          <cell r="B750">
            <v>71</v>
          </cell>
          <cell r="D750" t="str">
            <v>45738089</v>
          </cell>
          <cell r="E750">
            <v>2</v>
          </cell>
        </row>
        <row r="751">
          <cell r="A751" t="str">
            <v>21575453</v>
          </cell>
          <cell r="B751">
            <v>35</v>
          </cell>
          <cell r="D751" t="str">
            <v>45747197</v>
          </cell>
          <cell r="E751">
            <v>3</v>
          </cell>
        </row>
        <row r="752">
          <cell r="A752" t="str">
            <v>21576837</v>
          </cell>
          <cell r="B752">
            <v>14</v>
          </cell>
          <cell r="D752" t="str">
            <v>45756303</v>
          </cell>
          <cell r="E752">
            <v>1</v>
          </cell>
        </row>
        <row r="753">
          <cell r="A753" t="str">
            <v>21824689</v>
          </cell>
          <cell r="B753">
            <v>13</v>
          </cell>
          <cell r="D753" t="str">
            <v>45766588</v>
          </cell>
          <cell r="E753">
            <v>8</v>
          </cell>
        </row>
        <row r="754">
          <cell r="A754" t="str">
            <v>21846342</v>
          </cell>
          <cell r="B754">
            <v>12</v>
          </cell>
          <cell r="D754" t="str">
            <v>45767362</v>
          </cell>
          <cell r="E754">
            <v>4</v>
          </cell>
        </row>
        <row r="755">
          <cell r="A755" t="str">
            <v>21857619</v>
          </cell>
          <cell r="B755">
            <v>12</v>
          </cell>
          <cell r="D755" t="str">
            <v>45781409</v>
          </cell>
          <cell r="E755">
            <v>22</v>
          </cell>
        </row>
        <row r="756">
          <cell r="A756" t="str">
            <v>21860685</v>
          </cell>
          <cell r="B756">
            <v>4</v>
          </cell>
          <cell r="D756" t="str">
            <v>45793397</v>
          </cell>
          <cell r="E756">
            <v>2</v>
          </cell>
        </row>
        <row r="757">
          <cell r="A757" t="str">
            <v>21864253</v>
          </cell>
          <cell r="B757">
            <v>13</v>
          </cell>
          <cell r="D757" t="str">
            <v>45823611</v>
          </cell>
          <cell r="E757">
            <v>1</v>
          </cell>
        </row>
        <row r="758">
          <cell r="A758" t="str">
            <v>21867327</v>
          </cell>
          <cell r="B758">
            <v>36</v>
          </cell>
          <cell r="D758" t="str">
            <v>45826137</v>
          </cell>
          <cell r="E758">
            <v>1</v>
          </cell>
        </row>
        <row r="759">
          <cell r="A759" t="str">
            <v>21868761</v>
          </cell>
          <cell r="B759">
            <v>13</v>
          </cell>
          <cell r="D759" t="str">
            <v>45839504</v>
          </cell>
          <cell r="E759">
            <v>2</v>
          </cell>
        </row>
        <row r="760">
          <cell r="A760" t="str">
            <v>21870188</v>
          </cell>
          <cell r="B760">
            <v>1</v>
          </cell>
          <cell r="D760" t="str">
            <v>45855191</v>
          </cell>
          <cell r="E760">
            <v>1</v>
          </cell>
        </row>
        <row r="761">
          <cell r="A761" t="str">
            <v>21877560</v>
          </cell>
          <cell r="B761">
            <v>16</v>
          </cell>
          <cell r="D761" t="str">
            <v>45859575</v>
          </cell>
          <cell r="E761">
            <v>1</v>
          </cell>
        </row>
        <row r="762">
          <cell r="A762" t="str">
            <v>22079709</v>
          </cell>
          <cell r="B762">
            <v>25</v>
          </cell>
          <cell r="D762" t="str">
            <v>45874546</v>
          </cell>
          <cell r="E762">
            <v>1</v>
          </cell>
        </row>
        <row r="763">
          <cell r="A763" t="str">
            <v>22097905</v>
          </cell>
          <cell r="B763">
            <v>8</v>
          </cell>
          <cell r="D763" t="str">
            <v>45894648</v>
          </cell>
          <cell r="E763">
            <v>1</v>
          </cell>
        </row>
        <row r="764">
          <cell r="A764" t="str">
            <v>22100861</v>
          </cell>
          <cell r="B764">
            <v>12</v>
          </cell>
          <cell r="D764" t="str">
            <v>45911195</v>
          </cell>
          <cell r="E764">
            <v>22</v>
          </cell>
        </row>
        <row r="765">
          <cell r="A765" t="str">
            <v>22271765</v>
          </cell>
          <cell r="B765">
            <v>10</v>
          </cell>
          <cell r="D765" t="str">
            <v>45914722</v>
          </cell>
          <cell r="E765">
            <v>1</v>
          </cell>
        </row>
        <row r="766">
          <cell r="A766" t="str">
            <v>22275297</v>
          </cell>
          <cell r="B766">
            <v>2</v>
          </cell>
          <cell r="D766" t="str">
            <v>45944304</v>
          </cell>
          <cell r="E766">
            <v>1</v>
          </cell>
        </row>
        <row r="767">
          <cell r="A767" t="str">
            <v>22289239</v>
          </cell>
          <cell r="B767">
            <v>29</v>
          </cell>
          <cell r="D767" t="str">
            <v>45954423</v>
          </cell>
          <cell r="E767">
            <v>1</v>
          </cell>
        </row>
        <row r="768">
          <cell r="A768" t="str">
            <v>22291071</v>
          </cell>
          <cell r="B768">
            <v>6</v>
          </cell>
          <cell r="D768" t="str">
            <v>45963862</v>
          </cell>
          <cell r="E768">
            <v>1</v>
          </cell>
        </row>
        <row r="769">
          <cell r="A769" t="str">
            <v>22318143</v>
          </cell>
          <cell r="B769">
            <v>8</v>
          </cell>
          <cell r="D769" t="str">
            <v>45965518</v>
          </cell>
          <cell r="E769">
            <v>1</v>
          </cell>
        </row>
        <row r="770">
          <cell r="A770" t="str">
            <v>22407258</v>
          </cell>
          <cell r="B770">
            <v>2</v>
          </cell>
          <cell r="D770" t="str">
            <v>45981092</v>
          </cell>
          <cell r="E770">
            <v>3</v>
          </cell>
        </row>
        <row r="771">
          <cell r="A771" t="str">
            <v>22423710</v>
          </cell>
          <cell r="B771">
            <v>10</v>
          </cell>
          <cell r="D771" t="str">
            <v>45986306</v>
          </cell>
          <cell r="E771">
            <v>8</v>
          </cell>
        </row>
        <row r="772">
          <cell r="A772" t="str">
            <v>22434019</v>
          </cell>
          <cell r="B772">
            <v>1</v>
          </cell>
          <cell r="D772" t="str">
            <v>46033879</v>
          </cell>
          <cell r="E772">
            <v>21</v>
          </cell>
        </row>
        <row r="773">
          <cell r="A773" t="str">
            <v>22491284</v>
          </cell>
          <cell r="B773">
            <v>5</v>
          </cell>
          <cell r="D773" t="str">
            <v>46061862</v>
          </cell>
          <cell r="E773">
            <v>1</v>
          </cell>
        </row>
        <row r="774">
          <cell r="A774" t="str">
            <v>22494778</v>
          </cell>
          <cell r="B774">
            <v>3</v>
          </cell>
          <cell r="D774" t="str">
            <v>46067567</v>
          </cell>
          <cell r="E774">
            <v>1</v>
          </cell>
        </row>
        <row r="775">
          <cell r="A775" t="str">
            <v>22499464</v>
          </cell>
          <cell r="B775">
            <v>7</v>
          </cell>
          <cell r="D775" t="str">
            <v>46114466</v>
          </cell>
          <cell r="E775">
            <v>4</v>
          </cell>
        </row>
        <row r="776">
          <cell r="A776" t="str">
            <v>22502381</v>
          </cell>
          <cell r="B776">
            <v>4</v>
          </cell>
          <cell r="D776" t="str">
            <v>46167605</v>
          </cell>
          <cell r="E776">
            <v>3</v>
          </cell>
        </row>
        <row r="777">
          <cell r="A777" t="str">
            <v>22504648</v>
          </cell>
          <cell r="B777">
            <v>3</v>
          </cell>
          <cell r="D777" t="str">
            <v>46171848</v>
          </cell>
          <cell r="E777">
            <v>1</v>
          </cell>
        </row>
        <row r="778">
          <cell r="A778" t="str">
            <v>22520537</v>
          </cell>
          <cell r="B778">
            <v>5</v>
          </cell>
          <cell r="D778" t="str">
            <v>46173184</v>
          </cell>
          <cell r="E778">
            <v>1</v>
          </cell>
        </row>
        <row r="779">
          <cell r="A779" t="str">
            <v>22521224</v>
          </cell>
          <cell r="B779">
            <v>23</v>
          </cell>
          <cell r="D779" t="str">
            <v>46188561</v>
          </cell>
          <cell r="E779">
            <v>3</v>
          </cell>
        </row>
        <row r="780">
          <cell r="A780" t="str">
            <v>22671665</v>
          </cell>
          <cell r="B780">
            <v>3</v>
          </cell>
          <cell r="D780" t="str">
            <v>46189445</v>
          </cell>
          <cell r="E780">
            <v>1</v>
          </cell>
        </row>
        <row r="781">
          <cell r="A781" t="str">
            <v>22674567</v>
          </cell>
          <cell r="B781">
            <v>13</v>
          </cell>
          <cell r="D781" t="str">
            <v>46195795</v>
          </cell>
          <cell r="E781">
            <v>7</v>
          </cell>
        </row>
        <row r="782">
          <cell r="A782" t="str">
            <v>22758152</v>
          </cell>
          <cell r="B782">
            <v>7</v>
          </cell>
          <cell r="D782" t="str">
            <v>46198310</v>
          </cell>
          <cell r="E782">
            <v>1</v>
          </cell>
        </row>
        <row r="783">
          <cell r="A783" t="str">
            <v>22974922</v>
          </cell>
          <cell r="B783">
            <v>70</v>
          </cell>
          <cell r="D783" t="str">
            <v>46206883</v>
          </cell>
          <cell r="E783">
            <v>7</v>
          </cell>
        </row>
        <row r="784">
          <cell r="A784" t="str">
            <v>22998027</v>
          </cell>
          <cell r="B784">
            <v>8</v>
          </cell>
          <cell r="D784" t="str">
            <v>46207297</v>
          </cell>
          <cell r="E784">
            <v>4</v>
          </cell>
        </row>
        <row r="785">
          <cell r="A785" t="str">
            <v>23011339</v>
          </cell>
          <cell r="B785">
            <v>12</v>
          </cell>
          <cell r="D785" t="str">
            <v>46230169</v>
          </cell>
          <cell r="E785">
            <v>13</v>
          </cell>
        </row>
        <row r="786">
          <cell r="A786" t="str">
            <v>23012190</v>
          </cell>
          <cell r="B786">
            <v>16</v>
          </cell>
          <cell r="D786" t="str">
            <v>46245445</v>
          </cell>
          <cell r="E786">
            <v>5</v>
          </cell>
        </row>
        <row r="787">
          <cell r="A787" t="str">
            <v>23018938</v>
          </cell>
          <cell r="B787">
            <v>5</v>
          </cell>
          <cell r="D787" t="str">
            <v>46296263</v>
          </cell>
          <cell r="E787">
            <v>1</v>
          </cell>
        </row>
        <row r="788">
          <cell r="A788" t="str">
            <v>23085818</v>
          </cell>
          <cell r="B788">
            <v>27</v>
          </cell>
          <cell r="D788" t="str">
            <v>46301888</v>
          </cell>
          <cell r="E788">
            <v>1</v>
          </cell>
        </row>
        <row r="789">
          <cell r="A789" t="str">
            <v>23159978</v>
          </cell>
          <cell r="B789">
            <v>12</v>
          </cell>
          <cell r="D789" t="str">
            <v>46310009</v>
          </cell>
          <cell r="E789">
            <v>5</v>
          </cell>
        </row>
        <row r="790">
          <cell r="A790" t="str">
            <v>23212535</v>
          </cell>
          <cell r="B790">
            <v>8</v>
          </cell>
          <cell r="D790" t="str">
            <v>46328787</v>
          </cell>
          <cell r="E790">
            <v>6</v>
          </cell>
        </row>
        <row r="791">
          <cell r="A791" t="str">
            <v>23267169</v>
          </cell>
          <cell r="B791">
            <v>10</v>
          </cell>
          <cell r="D791" t="str">
            <v>46339648</v>
          </cell>
          <cell r="E791">
            <v>7</v>
          </cell>
        </row>
        <row r="792">
          <cell r="A792" t="str">
            <v>23270510</v>
          </cell>
          <cell r="B792">
            <v>14</v>
          </cell>
          <cell r="D792" t="str">
            <v>46365273</v>
          </cell>
          <cell r="E792">
            <v>2</v>
          </cell>
        </row>
        <row r="793">
          <cell r="A793" t="str">
            <v>23466152</v>
          </cell>
          <cell r="B793">
            <v>9</v>
          </cell>
          <cell r="D793" t="str">
            <v>46387040</v>
          </cell>
          <cell r="E793">
            <v>1</v>
          </cell>
        </row>
        <row r="794">
          <cell r="A794" t="str">
            <v>23562121</v>
          </cell>
          <cell r="B794">
            <v>9</v>
          </cell>
          <cell r="D794" t="str">
            <v>46390257</v>
          </cell>
          <cell r="E794">
            <v>1</v>
          </cell>
        </row>
        <row r="795">
          <cell r="A795" t="str">
            <v>23692954</v>
          </cell>
          <cell r="B795">
            <v>3</v>
          </cell>
          <cell r="D795" t="str">
            <v>46440441</v>
          </cell>
          <cell r="E795">
            <v>1</v>
          </cell>
        </row>
        <row r="796">
          <cell r="A796" t="str">
            <v>23710804</v>
          </cell>
          <cell r="B796">
            <v>1</v>
          </cell>
          <cell r="D796" t="str">
            <v>46444967</v>
          </cell>
          <cell r="E796">
            <v>4</v>
          </cell>
        </row>
        <row r="797">
          <cell r="A797" t="str">
            <v>23714262</v>
          </cell>
          <cell r="B797">
            <v>8</v>
          </cell>
          <cell r="D797" t="str">
            <v>46445031</v>
          </cell>
          <cell r="E797">
            <v>1</v>
          </cell>
        </row>
        <row r="798">
          <cell r="A798" t="str">
            <v>23715295</v>
          </cell>
          <cell r="B798">
            <v>1</v>
          </cell>
          <cell r="D798" t="str">
            <v>46461353</v>
          </cell>
          <cell r="E798">
            <v>1</v>
          </cell>
        </row>
        <row r="799">
          <cell r="A799" t="str">
            <v>23860881</v>
          </cell>
          <cell r="B799">
            <v>14</v>
          </cell>
          <cell r="D799" t="str">
            <v>46468206</v>
          </cell>
          <cell r="E799">
            <v>3</v>
          </cell>
        </row>
        <row r="800">
          <cell r="A800" t="str">
            <v>23885255</v>
          </cell>
          <cell r="B800">
            <v>2</v>
          </cell>
          <cell r="D800" t="str">
            <v>46478931</v>
          </cell>
          <cell r="E800">
            <v>1</v>
          </cell>
        </row>
        <row r="801">
          <cell r="A801" t="str">
            <v>23925020</v>
          </cell>
          <cell r="B801">
            <v>7</v>
          </cell>
          <cell r="D801" t="str">
            <v>46481387</v>
          </cell>
          <cell r="E801">
            <v>1</v>
          </cell>
        </row>
        <row r="802">
          <cell r="A802" t="str">
            <v>23933220</v>
          </cell>
          <cell r="B802">
            <v>8</v>
          </cell>
          <cell r="D802" t="str">
            <v>46489136</v>
          </cell>
          <cell r="E802">
            <v>3</v>
          </cell>
        </row>
        <row r="803">
          <cell r="A803" t="str">
            <v>23958384</v>
          </cell>
          <cell r="B803">
            <v>4</v>
          </cell>
          <cell r="D803" t="str">
            <v>46495382</v>
          </cell>
          <cell r="E803">
            <v>1</v>
          </cell>
        </row>
        <row r="804">
          <cell r="A804" t="str">
            <v>23961991</v>
          </cell>
          <cell r="B804">
            <v>23</v>
          </cell>
          <cell r="D804" t="str">
            <v>46521140</v>
          </cell>
          <cell r="E804">
            <v>1</v>
          </cell>
        </row>
        <row r="805">
          <cell r="A805" t="str">
            <v>23968674</v>
          </cell>
          <cell r="B805">
            <v>2</v>
          </cell>
          <cell r="D805" t="str">
            <v>46532956</v>
          </cell>
          <cell r="E805">
            <v>1</v>
          </cell>
        </row>
        <row r="806">
          <cell r="A806" t="str">
            <v>23983280</v>
          </cell>
          <cell r="B806">
            <v>4</v>
          </cell>
          <cell r="D806" t="str">
            <v>46573618</v>
          </cell>
          <cell r="E806">
            <v>12</v>
          </cell>
        </row>
        <row r="807">
          <cell r="A807" t="str">
            <v>23987302</v>
          </cell>
          <cell r="B807">
            <v>1</v>
          </cell>
          <cell r="D807" t="str">
            <v>46578843</v>
          </cell>
          <cell r="E807">
            <v>1</v>
          </cell>
        </row>
        <row r="808">
          <cell r="A808" t="str">
            <v>24000343</v>
          </cell>
          <cell r="B808">
            <v>1</v>
          </cell>
          <cell r="D808" t="str">
            <v>46609584</v>
          </cell>
          <cell r="E808">
            <v>1</v>
          </cell>
        </row>
        <row r="809">
          <cell r="A809" t="str">
            <v>24005963</v>
          </cell>
          <cell r="B809">
            <v>18</v>
          </cell>
          <cell r="D809" t="str">
            <v>46644225</v>
          </cell>
          <cell r="E809">
            <v>1</v>
          </cell>
        </row>
        <row r="810">
          <cell r="A810" t="str">
            <v>24367525</v>
          </cell>
          <cell r="B810">
            <v>38</v>
          </cell>
          <cell r="D810" t="str">
            <v>46648679</v>
          </cell>
          <cell r="E810">
            <v>1</v>
          </cell>
        </row>
        <row r="811">
          <cell r="A811" t="str">
            <v>24701588</v>
          </cell>
          <cell r="B811">
            <v>8</v>
          </cell>
          <cell r="D811" t="str">
            <v>46650745</v>
          </cell>
          <cell r="E811">
            <v>1</v>
          </cell>
        </row>
        <row r="812">
          <cell r="A812" t="str">
            <v>24704712</v>
          </cell>
          <cell r="B812">
            <v>57</v>
          </cell>
          <cell r="D812" t="str">
            <v>46660740</v>
          </cell>
          <cell r="E812">
            <v>1</v>
          </cell>
        </row>
        <row r="813">
          <cell r="A813" t="str">
            <v>24713256</v>
          </cell>
          <cell r="B813">
            <v>2</v>
          </cell>
          <cell r="D813" t="str">
            <v>46671482</v>
          </cell>
          <cell r="E813">
            <v>1</v>
          </cell>
        </row>
        <row r="814">
          <cell r="A814" t="str">
            <v>24718101</v>
          </cell>
          <cell r="B814">
            <v>29</v>
          </cell>
          <cell r="D814" t="str">
            <v>46688476</v>
          </cell>
          <cell r="E814">
            <v>2</v>
          </cell>
        </row>
        <row r="815">
          <cell r="A815" t="str">
            <v>24883845</v>
          </cell>
          <cell r="B815">
            <v>7</v>
          </cell>
          <cell r="D815" t="str">
            <v>46689528</v>
          </cell>
          <cell r="E815">
            <v>1</v>
          </cell>
        </row>
        <row r="816">
          <cell r="A816" t="str">
            <v>24890088</v>
          </cell>
          <cell r="B816">
            <v>2</v>
          </cell>
          <cell r="D816" t="str">
            <v>46696320</v>
          </cell>
          <cell r="E816">
            <v>8</v>
          </cell>
        </row>
        <row r="817">
          <cell r="A817" t="str">
            <v>25017156</v>
          </cell>
          <cell r="B817">
            <v>1</v>
          </cell>
          <cell r="D817" t="str">
            <v>46699855</v>
          </cell>
          <cell r="E817">
            <v>1</v>
          </cell>
        </row>
        <row r="818">
          <cell r="A818" t="str">
            <v>25218848</v>
          </cell>
          <cell r="B818">
            <v>2</v>
          </cell>
          <cell r="D818" t="str">
            <v>46700001</v>
          </cell>
          <cell r="E818">
            <v>1</v>
          </cell>
        </row>
        <row r="819">
          <cell r="A819" t="str">
            <v>25434757</v>
          </cell>
          <cell r="B819">
            <v>93</v>
          </cell>
          <cell r="D819" t="str">
            <v>46726723</v>
          </cell>
          <cell r="E819">
            <v>1</v>
          </cell>
        </row>
        <row r="820">
          <cell r="A820" t="str">
            <v>25523656</v>
          </cell>
          <cell r="B820">
            <v>2</v>
          </cell>
          <cell r="D820" t="str">
            <v>46734443</v>
          </cell>
          <cell r="E820">
            <v>3</v>
          </cell>
        </row>
        <row r="821">
          <cell r="A821" t="str">
            <v>25563441</v>
          </cell>
          <cell r="B821">
            <v>6</v>
          </cell>
          <cell r="D821" t="str">
            <v>46792499</v>
          </cell>
          <cell r="E821">
            <v>1</v>
          </cell>
        </row>
        <row r="822">
          <cell r="A822" t="str">
            <v>25567421</v>
          </cell>
          <cell r="B822">
            <v>18</v>
          </cell>
          <cell r="D822" t="str">
            <v>46801079</v>
          </cell>
          <cell r="E822">
            <v>1</v>
          </cell>
        </row>
        <row r="823">
          <cell r="A823" t="str">
            <v>25593710</v>
          </cell>
          <cell r="B823">
            <v>9</v>
          </cell>
          <cell r="D823" t="str">
            <v>46803055</v>
          </cell>
          <cell r="E823">
            <v>1</v>
          </cell>
        </row>
        <row r="824">
          <cell r="A824" t="str">
            <v>25681757</v>
          </cell>
          <cell r="B824">
            <v>3</v>
          </cell>
          <cell r="D824" t="str">
            <v>46813795</v>
          </cell>
          <cell r="E824">
            <v>3</v>
          </cell>
        </row>
        <row r="825">
          <cell r="A825" t="str">
            <v>25683990</v>
          </cell>
          <cell r="B825">
            <v>9</v>
          </cell>
          <cell r="D825" t="str">
            <v>46837436</v>
          </cell>
          <cell r="E825">
            <v>3</v>
          </cell>
        </row>
        <row r="826">
          <cell r="A826" t="str">
            <v>25703614</v>
          </cell>
          <cell r="B826">
            <v>1</v>
          </cell>
          <cell r="D826" t="str">
            <v>46841723</v>
          </cell>
          <cell r="E826">
            <v>1</v>
          </cell>
        </row>
        <row r="827">
          <cell r="A827" t="str">
            <v>25708263</v>
          </cell>
          <cell r="B827">
            <v>2</v>
          </cell>
          <cell r="D827" t="str">
            <v>46859657</v>
          </cell>
          <cell r="E827">
            <v>2</v>
          </cell>
        </row>
        <row r="828">
          <cell r="A828" t="str">
            <v>25711491</v>
          </cell>
          <cell r="B828">
            <v>2</v>
          </cell>
          <cell r="D828" t="str">
            <v>46872848</v>
          </cell>
          <cell r="E828">
            <v>1</v>
          </cell>
        </row>
        <row r="829">
          <cell r="A829" t="str">
            <v>25717752</v>
          </cell>
          <cell r="B829">
            <v>8</v>
          </cell>
          <cell r="D829" t="str">
            <v>46902154</v>
          </cell>
          <cell r="E829">
            <v>2</v>
          </cell>
        </row>
        <row r="830">
          <cell r="A830" t="str">
            <v>25719636</v>
          </cell>
          <cell r="B830">
            <v>1</v>
          </cell>
          <cell r="D830" t="str">
            <v>46927533</v>
          </cell>
          <cell r="E830">
            <v>2</v>
          </cell>
        </row>
        <row r="831">
          <cell r="A831" t="str">
            <v>25731505</v>
          </cell>
          <cell r="B831">
            <v>3</v>
          </cell>
          <cell r="D831" t="str">
            <v>46930019</v>
          </cell>
          <cell r="E831">
            <v>5</v>
          </cell>
        </row>
        <row r="832">
          <cell r="A832" t="str">
            <v>25733160</v>
          </cell>
          <cell r="B832">
            <v>3</v>
          </cell>
          <cell r="D832" t="str">
            <v>46939827</v>
          </cell>
          <cell r="E832">
            <v>2</v>
          </cell>
        </row>
        <row r="833">
          <cell r="A833" t="str">
            <v>25741142</v>
          </cell>
          <cell r="B833">
            <v>3</v>
          </cell>
          <cell r="D833" t="str">
            <v>46951072</v>
          </cell>
          <cell r="E833">
            <v>1</v>
          </cell>
        </row>
        <row r="834">
          <cell r="A834" t="str">
            <v>25750128</v>
          </cell>
          <cell r="B834">
            <v>3</v>
          </cell>
          <cell r="D834" t="str">
            <v>46956027</v>
          </cell>
          <cell r="E834">
            <v>11</v>
          </cell>
        </row>
        <row r="835">
          <cell r="A835" t="str">
            <v>25755258</v>
          </cell>
          <cell r="B835">
            <v>36</v>
          </cell>
          <cell r="D835" t="str">
            <v>46971908</v>
          </cell>
          <cell r="E835">
            <v>1</v>
          </cell>
        </row>
        <row r="836">
          <cell r="A836" t="str">
            <v>25756870</v>
          </cell>
          <cell r="B836">
            <v>51</v>
          </cell>
          <cell r="D836" t="str">
            <v>46977966</v>
          </cell>
          <cell r="E836">
            <v>12</v>
          </cell>
        </row>
        <row r="837">
          <cell r="A837" t="str">
            <v>25759377</v>
          </cell>
          <cell r="B837">
            <v>3</v>
          </cell>
          <cell r="D837" t="str">
            <v>46981248</v>
          </cell>
          <cell r="E837">
            <v>2</v>
          </cell>
        </row>
        <row r="838">
          <cell r="A838" t="str">
            <v>25761503</v>
          </cell>
          <cell r="B838">
            <v>9</v>
          </cell>
          <cell r="D838" t="str">
            <v>47010960</v>
          </cell>
          <cell r="E838">
            <v>1</v>
          </cell>
        </row>
        <row r="839">
          <cell r="A839" t="str">
            <v>25766977</v>
          </cell>
          <cell r="B839">
            <v>1</v>
          </cell>
          <cell r="D839" t="str">
            <v>47011167</v>
          </cell>
          <cell r="E839">
            <v>1</v>
          </cell>
        </row>
        <row r="840">
          <cell r="A840" t="str">
            <v>25785650</v>
          </cell>
          <cell r="B840">
            <v>2</v>
          </cell>
          <cell r="D840" t="str">
            <v>47013846</v>
          </cell>
          <cell r="E840">
            <v>31</v>
          </cell>
        </row>
        <row r="841">
          <cell r="A841" t="str">
            <v>25789076</v>
          </cell>
          <cell r="B841">
            <v>1</v>
          </cell>
          <cell r="D841" t="str">
            <v>47024469</v>
          </cell>
          <cell r="E841">
            <v>1</v>
          </cell>
        </row>
        <row r="842">
          <cell r="A842" t="str">
            <v>25794878</v>
          </cell>
          <cell r="B842">
            <v>9</v>
          </cell>
          <cell r="D842" t="str">
            <v>47032136</v>
          </cell>
          <cell r="E842">
            <v>1</v>
          </cell>
        </row>
        <row r="843">
          <cell r="A843" t="str">
            <v>25797690</v>
          </cell>
          <cell r="B843">
            <v>8</v>
          </cell>
          <cell r="D843" t="str">
            <v>47038356</v>
          </cell>
          <cell r="E843">
            <v>1</v>
          </cell>
        </row>
        <row r="844">
          <cell r="A844" t="str">
            <v>25827583</v>
          </cell>
          <cell r="B844">
            <v>2</v>
          </cell>
          <cell r="D844" t="str">
            <v>47042627</v>
          </cell>
          <cell r="E844">
            <v>1</v>
          </cell>
        </row>
        <row r="845">
          <cell r="A845" t="str">
            <v>25838716</v>
          </cell>
          <cell r="B845">
            <v>10</v>
          </cell>
          <cell r="D845" t="str">
            <v>47046098</v>
          </cell>
          <cell r="E845">
            <v>2</v>
          </cell>
        </row>
        <row r="846">
          <cell r="A846" t="str">
            <v>25843530</v>
          </cell>
          <cell r="B846">
            <v>10</v>
          </cell>
          <cell r="D846" t="str">
            <v>47051223</v>
          </cell>
          <cell r="E846">
            <v>1</v>
          </cell>
        </row>
        <row r="847">
          <cell r="A847" t="str">
            <v>25847732</v>
          </cell>
          <cell r="B847">
            <v>4</v>
          </cell>
          <cell r="D847" t="str">
            <v>47053324</v>
          </cell>
          <cell r="E847">
            <v>1</v>
          </cell>
        </row>
        <row r="848">
          <cell r="A848" t="str">
            <v>25859054</v>
          </cell>
          <cell r="B848">
            <v>38</v>
          </cell>
          <cell r="D848" t="str">
            <v>47065737</v>
          </cell>
          <cell r="E848">
            <v>1</v>
          </cell>
        </row>
        <row r="849">
          <cell r="A849" t="str">
            <v>26641598</v>
          </cell>
          <cell r="B849">
            <v>3</v>
          </cell>
          <cell r="D849" t="str">
            <v>47076244</v>
          </cell>
          <cell r="E849">
            <v>1</v>
          </cell>
        </row>
        <row r="850">
          <cell r="A850" t="str">
            <v>26699128</v>
          </cell>
          <cell r="B850">
            <v>7</v>
          </cell>
          <cell r="D850" t="str">
            <v>47079309</v>
          </cell>
          <cell r="E850">
            <v>4</v>
          </cell>
        </row>
        <row r="851">
          <cell r="A851" t="str">
            <v>26713542</v>
          </cell>
          <cell r="B851">
            <v>1</v>
          </cell>
          <cell r="D851" t="str">
            <v>47081023</v>
          </cell>
          <cell r="E851">
            <v>5</v>
          </cell>
        </row>
        <row r="852">
          <cell r="A852" t="str">
            <v>26713793</v>
          </cell>
          <cell r="B852">
            <v>1</v>
          </cell>
          <cell r="D852" t="str">
            <v>47087868</v>
          </cell>
          <cell r="E852">
            <v>4</v>
          </cell>
        </row>
        <row r="853">
          <cell r="A853" t="str">
            <v>26715164</v>
          </cell>
          <cell r="B853">
            <v>2</v>
          </cell>
          <cell r="D853" t="str">
            <v>47125438</v>
          </cell>
          <cell r="E853">
            <v>1</v>
          </cell>
        </row>
        <row r="854">
          <cell r="A854" t="str">
            <v>26715881</v>
          </cell>
          <cell r="B854">
            <v>1</v>
          </cell>
          <cell r="D854" t="str">
            <v>47179314</v>
          </cell>
          <cell r="E854">
            <v>1</v>
          </cell>
        </row>
        <row r="855">
          <cell r="A855" t="str">
            <v>26722082</v>
          </cell>
          <cell r="B855">
            <v>3</v>
          </cell>
          <cell r="D855" t="str">
            <v>47180494</v>
          </cell>
          <cell r="E855">
            <v>2</v>
          </cell>
        </row>
        <row r="856">
          <cell r="A856" t="str">
            <v>26728316</v>
          </cell>
          <cell r="B856">
            <v>3</v>
          </cell>
          <cell r="D856" t="str">
            <v>47199887</v>
          </cell>
          <cell r="E856">
            <v>1</v>
          </cell>
        </row>
        <row r="857">
          <cell r="A857" t="str">
            <v>26953414</v>
          </cell>
          <cell r="B857">
            <v>1</v>
          </cell>
          <cell r="D857" t="str">
            <v>47208597</v>
          </cell>
          <cell r="E857">
            <v>1</v>
          </cell>
        </row>
        <row r="858">
          <cell r="A858" t="str">
            <v>27057320</v>
          </cell>
          <cell r="B858">
            <v>12</v>
          </cell>
          <cell r="D858" t="str">
            <v>47212967</v>
          </cell>
          <cell r="E858">
            <v>1</v>
          </cell>
        </row>
        <row r="859">
          <cell r="A859" t="str">
            <v>27252327</v>
          </cell>
          <cell r="B859">
            <v>3</v>
          </cell>
          <cell r="D859" t="str">
            <v>47216444</v>
          </cell>
          <cell r="E859">
            <v>5</v>
          </cell>
        </row>
        <row r="860">
          <cell r="A860" t="str">
            <v>27269537</v>
          </cell>
          <cell r="B860">
            <v>58</v>
          </cell>
          <cell r="D860" t="str">
            <v>47229862</v>
          </cell>
          <cell r="E860">
            <v>9</v>
          </cell>
        </row>
        <row r="861">
          <cell r="A861" t="str">
            <v>27291798</v>
          </cell>
          <cell r="B861">
            <v>13</v>
          </cell>
          <cell r="D861" t="str">
            <v>47250427</v>
          </cell>
          <cell r="E861">
            <v>2</v>
          </cell>
        </row>
        <row r="862">
          <cell r="A862" t="str">
            <v>27297060</v>
          </cell>
          <cell r="B862">
            <v>1</v>
          </cell>
          <cell r="D862" t="str">
            <v>47253952</v>
          </cell>
          <cell r="E862">
            <v>2</v>
          </cell>
        </row>
        <row r="863">
          <cell r="A863" t="str">
            <v>27377062</v>
          </cell>
          <cell r="B863">
            <v>8</v>
          </cell>
          <cell r="D863" t="str">
            <v>47260114</v>
          </cell>
          <cell r="E863">
            <v>1</v>
          </cell>
        </row>
        <row r="864">
          <cell r="A864" t="str">
            <v>27406705</v>
          </cell>
          <cell r="B864">
            <v>7</v>
          </cell>
          <cell r="D864" t="str">
            <v>47267440</v>
          </cell>
          <cell r="E864">
            <v>1</v>
          </cell>
        </row>
        <row r="865">
          <cell r="A865" t="str">
            <v>27422666</v>
          </cell>
          <cell r="B865">
            <v>63</v>
          </cell>
          <cell r="D865" t="str">
            <v>47302326</v>
          </cell>
          <cell r="E865">
            <v>1</v>
          </cell>
        </row>
        <row r="866">
          <cell r="A866" t="str">
            <v>27426309</v>
          </cell>
          <cell r="B866">
            <v>11</v>
          </cell>
          <cell r="D866" t="str">
            <v>47312695</v>
          </cell>
          <cell r="E866">
            <v>1</v>
          </cell>
        </row>
        <row r="867">
          <cell r="A867" t="str">
            <v>27436485</v>
          </cell>
          <cell r="B867">
            <v>4</v>
          </cell>
          <cell r="D867" t="str">
            <v>47316322</v>
          </cell>
          <cell r="E867">
            <v>2</v>
          </cell>
        </row>
        <row r="868">
          <cell r="A868" t="str">
            <v>27555177</v>
          </cell>
          <cell r="B868">
            <v>1</v>
          </cell>
          <cell r="D868" t="str">
            <v>47352952</v>
          </cell>
          <cell r="E868">
            <v>1</v>
          </cell>
        </row>
        <row r="869">
          <cell r="A869" t="str">
            <v>27577497</v>
          </cell>
          <cell r="B869">
            <v>1</v>
          </cell>
          <cell r="D869" t="str">
            <v>47352982</v>
          </cell>
          <cell r="E869">
            <v>3</v>
          </cell>
        </row>
        <row r="870">
          <cell r="A870" t="str">
            <v>27578054</v>
          </cell>
          <cell r="B870">
            <v>1</v>
          </cell>
          <cell r="D870" t="str">
            <v>47358618</v>
          </cell>
          <cell r="E870">
            <v>1</v>
          </cell>
        </row>
        <row r="871">
          <cell r="A871" t="str">
            <v>27667351</v>
          </cell>
          <cell r="B871">
            <v>2</v>
          </cell>
          <cell r="D871" t="str">
            <v>47372842</v>
          </cell>
          <cell r="E871">
            <v>1</v>
          </cell>
        </row>
        <row r="872">
          <cell r="A872" t="str">
            <v>27711056</v>
          </cell>
          <cell r="B872">
            <v>20</v>
          </cell>
          <cell r="D872" t="str">
            <v>47376081</v>
          </cell>
          <cell r="E872">
            <v>3</v>
          </cell>
        </row>
        <row r="873">
          <cell r="A873" t="str">
            <v>27732424</v>
          </cell>
          <cell r="B873">
            <v>5</v>
          </cell>
          <cell r="D873" t="str">
            <v>47390612</v>
          </cell>
          <cell r="E873">
            <v>15</v>
          </cell>
        </row>
        <row r="874">
          <cell r="A874" t="str">
            <v>27737700</v>
          </cell>
          <cell r="B874">
            <v>1</v>
          </cell>
          <cell r="D874" t="str">
            <v>47458978</v>
          </cell>
          <cell r="E874">
            <v>4</v>
          </cell>
        </row>
        <row r="875">
          <cell r="A875" t="str">
            <v>27858664</v>
          </cell>
          <cell r="B875">
            <v>4</v>
          </cell>
          <cell r="D875" t="str">
            <v>47476097</v>
          </cell>
          <cell r="E875">
            <v>1</v>
          </cell>
        </row>
        <row r="876">
          <cell r="A876" t="str">
            <v>27861646</v>
          </cell>
          <cell r="B876">
            <v>3</v>
          </cell>
          <cell r="D876" t="str">
            <v>47479591</v>
          </cell>
          <cell r="E876">
            <v>2</v>
          </cell>
        </row>
        <row r="877">
          <cell r="A877" t="str">
            <v>27915180</v>
          </cell>
          <cell r="B877">
            <v>4</v>
          </cell>
          <cell r="D877" t="str">
            <v>47491130</v>
          </cell>
          <cell r="E877">
            <v>1</v>
          </cell>
        </row>
        <row r="878">
          <cell r="A878" t="str">
            <v>27965977</v>
          </cell>
          <cell r="B878">
            <v>4</v>
          </cell>
          <cell r="D878" t="str">
            <v>47491405</v>
          </cell>
          <cell r="E878">
            <v>1</v>
          </cell>
        </row>
        <row r="879">
          <cell r="A879" t="str">
            <v>27990650</v>
          </cell>
          <cell r="B879">
            <v>29</v>
          </cell>
          <cell r="D879" t="str">
            <v>47495570</v>
          </cell>
          <cell r="E879">
            <v>1</v>
          </cell>
        </row>
        <row r="880">
          <cell r="A880" t="str">
            <v>27993303</v>
          </cell>
          <cell r="B880">
            <v>13</v>
          </cell>
          <cell r="D880" t="str">
            <v>47533569</v>
          </cell>
          <cell r="E880">
            <v>2</v>
          </cell>
        </row>
        <row r="881">
          <cell r="A881" t="str">
            <v>28100297</v>
          </cell>
          <cell r="B881">
            <v>11</v>
          </cell>
          <cell r="D881" t="str">
            <v>47537263</v>
          </cell>
          <cell r="E881">
            <v>1</v>
          </cell>
        </row>
        <row r="882">
          <cell r="A882" t="str">
            <v>28111681</v>
          </cell>
          <cell r="B882">
            <v>32</v>
          </cell>
          <cell r="D882" t="str">
            <v>47541763</v>
          </cell>
          <cell r="E882">
            <v>1</v>
          </cell>
        </row>
        <row r="883">
          <cell r="A883" t="str">
            <v>28289734</v>
          </cell>
          <cell r="B883">
            <v>15</v>
          </cell>
          <cell r="D883" t="str">
            <v>47555075</v>
          </cell>
          <cell r="E883">
            <v>6</v>
          </cell>
        </row>
        <row r="884">
          <cell r="A884" t="str">
            <v>28293377</v>
          </cell>
          <cell r="B884">
            <v>2</v>
          </cell>
          <cell r="D884" t="str">
            <v>47555687</v>
          </cell>
          <cell r="E884">
            <v>1</v>
          </cell>
        </row>
        <row r="885">
          <cell r="A885" t="str">
            <v>28294580</v>
          </cell>
          <cell r="B885">
            <v>21</v>
          </cell>
          <cell r="D885" t="str">
            <v>47584488</v>
          </cell>
          <cell r="E885">
            <v>1</v>
          </cell>
        </row>
        <row r="886">
          <cell r="A886" t="str">
            <v>28310578</v>
          </cell>
          <cell r="B886">
            <v>6</v>
          </cell>
          <cell r="D886" t="str">
            <v>47584802</v>
          </cell>
          <cell r="E886">
            <v>1</v>
          </cell>
        </row>
        <row r="887">
          <cell r="A887" t="str">
            <v>28314739</v>
          </cell>
          <cell r="B887">
            <v>54</v>
          </cell>
          <cell r="D887" t="str">
            <v>47627789</v>
          </cell>
          <cell r="E887">
            <v>1</v>
          </cell>
        </row>
        <row r="888">
          <cell r="A888" t="str">
            <v>28317308</v>
          </cell>
          <cell r="B888">
            <v>18</v>
          </cell>
          <cell r="D888" t="str">
            <v>47646277</v>
          </cell>
          <cell r="E888">
            <v>1</v>
          </cell>
        </row>
        <row r="889">
          <cell r="A889" t="str">
            <v>28444856</v>
          </cell>
          <cell r="B889">
            <v>10</v>
          </cell>
          <cell r="D889" t="str">
            <v>47649239</v>
          </cell>
          <cell r="E889">
            <v>1</v>
          </cell>
        </row>
        <row r="890">
          <cell r="A890" t="str">
            <v>28850841</v>
          </cell>
          <cell r="B890">
            <v>5</v>
          </cell>
          <cell r="D890" t="str">
            <v>47717522</v>
          </cell>
          <cell r="E890">
            <v>1</v>
          </cell>
        </row>
        <row r="891">
          <cell r="A891" t="str">
            <v>29298274</v>
          </cell>
          <cell r="B891">
            <v>58</v>
          </cell>
          <cell r="D891" t="str">
            <v>47724499</v>
          </cell>
          <cell r="E891">
            <v>3</v>
          </cell>
        </row>
        <row r="892">
          <cell r="A892" t="str">
            <v>29309832</v>
          </cell>
          <cell r="B892">
            <v>10</v>
          </cell>
          <cell r="D892" t="str">
            <v>47738598</v>
          </cell>
          <cell r="E892">
            <v>5</v>
          </cell>
        </row>
        <row r="893">
          <cell r="A893" t="str">
            <v>29370022</v>
          </cell>
          <cell r="B893">
            <v>4</v>
          </cell>
          <cell r="D893" t="str">
            <v>47744493</v>
          </cell>
          <cell r="E893">
            <v>1</v>
          </cell>
        </row>
        <row r="894">
          <cell r="A894" t="str">
            <v>29381148</v>
          </cell>
          <cell r="B894">
            <v>24</v>
          </cell>
          <cell r="D894" t="str">
            <v>47753387</v>
          </cell>
          <cell r="E894">
            <v>1</v>
          </cell>
        </row>
        <row r="895">
          <cell r="A895" t="str">
            <v>29382929</v>
          </cell>
          <cell r="B895">
            <v>4</v>
          </cell>
          <cell r="D895" t="str">
            <v>47757261</v>
          </cell>
          <cell r="E895">
            <v>3</v>
          </cell>
        </row>
        <row r="896">
          <cell r="A896" t="str">
            <v>29397713</v>
          </cell>
          <cell r="B896">
            <v>14</v>
          </cell>
          <cell r="D896" t="str">
            <v>47765548</v>
          </cell>
          <cell r="E896">
            <v>1</v>
          </cell>
        </row>
        <row r="897">
          <cell r="A897" t="str">
            <v>29429890</v>
          </cell>
          <cell r="B897">
            <v>4</v>
          </cell>
          <cell r="D897" t="str">
            <v>47799944</v>
          </cell>
          <cell r="E897">
            <v>1</v>
          </cell>
        </row>
        <row r="898">
          <cell r="A898" t="str">
            <v>29447419</v>
          </cell>
          <cell r="B898">
            <v>220</v>
          </cell>
          <cell r="D898" t="str">
            <v>47808823</v>
          </cell>
          <cell r="E898">
            <v>2</v>
          </cell>
        </row>
        <row r="899">
          <cell r="A899" t="str">
            <v>29463111</v>
          </cell>
          <cell r="B899">
            <v>35</v>
          </cell>
          <cell r="D899" t="str">
            <v>47814964</v>
          </cell>
          <cell r="E899">
            <v>4</v>
          </cell>
        </row>
        <row r="900">
          <cell r="A900" t="str">
            <v>29553211</v>
          </cell>
          <cell r="B900">
            <v>4</v>
          </cell>
          <cell r="D900" t="str">
            <v>47815275</v>
          </cell>
          <cell r="E900">
            <v>1</v>
          </cell>
        </row>
        <row r="901">
          <cell r="A901" t="str">
            <v>29564099</v>
          </cell>
          <cell r="B901">
            <v>3</v>
          </cell>
          <cell r="D901" t="str">
            <v>47816030</v>
          </cell>
          <cell r="E901">
            <v>2</v>
          </cell>
        </row>
        <row r="902">
          <cell r="A902" t="str">
            <v>29576843</v>
          </cell>
          <cell r="B902">
            <v>15</v>
          </cell>
          <cell r="D902" t="str">
            <v>47837100</v>
          </cell>
          <cell r="E902">
            <v>4</v>
          </cell>
        </row>
        <row r="903">
          <cell r="A903" t="str">
            <v>29577339</v>
          </cell>
          <cell r="B903">
            <v>2</v>
          </cell>
          <cell r="D903" t="str">
            <v>47843427</v>
          </cell>
          <cell r="E903">
            <v>3</v>
          </cell>
        </row>
        <row r="904">
          <cell r="A904" t="str">
            <v>29586787</v>
          </cell>
          <cell r="B904">
            <v>80</v>
          </cell>
          <cell r="D904" t="str">
            <v>47843844</v>
          </cell>
          <cell r="E904">
            <v>1</v>
          </cell>
        </row>
        <row r="905">
          <cell r="A905" t="str">
            <v>29591387</v>
          </cell>
          <cell r="B905">
            <v>85</v>
          </cell>
          <cell r="D905" t="str">
            <v>47862345</v>
          </cell>
          <cell r="E905">
            <v>1</v>
          </cell>
        </row>
        <row r="906">
          <cell r="A906" t="str">
            <v>29591570</v>
          </cell>
          <cell r="B906">
            <v>5</v>
          </cell>
          <cell r="D906" t="str">
            <v>47870190</v>
          </cell>
          <cell r="E906">
            <v>2</v>
          </cell>
        </row>
        <row r="907">
          <cell r="A907" t="str">
            <v>29593737</v>
          </cell>
          <cell r="B907">
            <v>9</v>
          </cell>
          <cell r="D907" t="str">
            <v>47874772</v>
          </cell>
          <cell r="E907">
            <v>7</v>
          </cell>
        </row>
        <row r="908">
          <cell r="A908" t="str">
            <v>29613190</v>
          </cell>
          <cell r="B908">
            <v>12</v>
          </cell>
          <cell r="D908" t="str">
            <v>47929863</v>
          </cell>
          <cell r="E908">
            <v>5</v>
          </cell>
        </row>
        <row r="909">
          <cell r="A909" t="str">
            <v>29620248</v>
          </cell>
          <cell r="B909">
            <v>24</v>
          </cell>
          <cell r="D909" t="str">
            <v>47934948</v>
          </cell>
          <cell r="E909">
            <v>1</v>
          </cell>
        </row>
        <row r="910">
          <cell r="A910" t="str">
            <v>29627186</v>
          </cell>
          <cell r="B910">
            <v>2</v>
          </cell>
          <cell r="D910" t="str">
            <v>47951660</v>
          </cell>
          <cell r="E910">
            <v>3</v>
          </cell>
        </row>
        <row r="911">
          <cell r="A911" t="str">
            <v>29646840</v>
          </cell>
          <cell r="B911">
            <v>41</v>
          </cell>
          <cell r="D911" t="str">
            <v>47954685</v>
          </cell>
          <cell r="E911">
            <v>1</v>
          </cell>
        </row>
        <row r="912">
          <cell r="A912" t="str">
            <v>29657230</v>
          </cell>
          <cell r="B912">
            <v>2</v>
          </cell>
          <cell r="D912" t="str">
            <v>47957921</v>
          </cell>
          <cell r="E912">
            <v>1</v>
          </cell>
        </row>
        <row r="913">
          <cell r="A913" t="str">
            <v>29661855</v>
          </cell>
          <cell r="B913">
            <v>17</v>
          </cell>
          <cell r="D913" t="str">
            <v>47969319</v>
          </cell>
          <cell r="E913">
            <v>2</v>
          </cell>
        </row>
        <row r="914">
          <cell r="A914" t="str">
            <v>29662441</v>
          </cell>
          <cell r="B914">
            <v>7</v>
          </cell>
          <cell r="D914" t="str">
            <v>47992905</v>
          </cell>
          <cell r="E914">
            <v>1</v>
          </cell>
        </row>
        <row r="915">
          <cell r="A915" t="str">
            <v>29674918</v>
          </cell>
          <cell r="B915">
            <v>2</v>
          </cell>
          <cell r="D915" t="str">
            <v>47993482</v>
          </cell>
          <cell r="E915">
            <v>10</v>
          </cell>
        </row>
        <row r="916">
          <cell r="A916" t="str">
            <v>29686043</v>
          </cell>
          <cell r="B916">
            <v>3</v>
          </cell>
          <cell r="D916" t="str">
            <v>48039433</v>
          </cell>
          <cell r="E916">
            <v>1</v>
          </cell>
        </row>
        <row r="917">
          <cell r="A917" t="str">
            <v>29709430</v>
          </cell>
          <cell r="B917">
            <v>14</v>
          </cell>
          <cell r="D917" t="str">
            <v>48054189</v>
          </cell>
          <cell r="E917">
            <v>1</v>
          </cell>
        </row>
        <row r="918">
          <cell r="A918" t="str">
            <v>29723962</v>
          </cell>
          <cell r="B918">
            <v>13</v>
          </cell>
          <cell r="D918" t="str">
            <v>48076204</v>
          </cell>
          <cell r="E918">
            <v>3</v>
          </cell>
        </row>
        <row r="919">
          <cell r="A919" t="str">
            <v>29732343</v>
          </cell>
          <cell r="B919">
            <v>5</v>
          </cell>
          <cell r="D919" t="str">
            <v>48079499</v>
          </cell>
          <cell r="E919">
            <v>2</v>
          </cell>
        </row>
        <row r="920">
          <cell r="A920" t="str">
            <v>30425053</v>
          </cell>
          <cell r="B920">
            <v>6</v>
          </cell>
          <cell r="D920" t="str">
            <v>48081594</v>
          </cell>
          <cell r="E920">
            <v>2</v>
          </cell>
        </row>
        <row r="921">
          <cell r="A921" t="str">
            <v>30488233</v>
          </cell>
          <cell r="B921">
            <v>1</v>
          </cell>
          <cell r="D921" t="str">
            <v>48082608</v>
          </cell>
          <cell r="E921">
            <v>1</v>
          </cell>
        </row>
        <row r="922">
          <cell r="A922" t="str">
            <v>30505833</v>
          </cell>
          <cell r="B922">
            <v>3</v>
          </cell>
          <cell r="D922" t="str">
            <v>48129130</v>
          </cell>
          <cell r="E922">
            <v>1</v>
          </cell>
        </row>
        <row r="923">
          <cell r="A923" t="str">
            <v>30563917</v>
          </cell>
          <cell r="B923">
            <v>2</v>
          </cell>
          <cell r="D923" t="str">
            <v>48161758</v>
          </cell>
          <cell r="E923">
            <v>8</v>
          </cell>
        </row>
        <row r="924">
          <cell r="A924" t="str">
            <v>30586234</v>
          </cell>
          <cell r="B924">
            <v>9</v>
          </cell>
          <cell r="D924" t="str">
            <v>48167923</v>
          </cell>
          <cell r="E924">
            <v>1</v>
          </cell>
        </row>
        <row r="925">
          <cell r="A925" t="str">
            <v>30586359</v>
          </cell>
          <cell r="B925">
            <v>1</v>
          </cell>
          <cell r="D925" t="str">
            <v>48170858</v>
          </cell>
          <cell r="E925">
            <v>1</v>
          </cell>
        </row>
        <row r="926">
          <cell r="A926" t="str">
            <v>30642567</v>
          </cell>
          <cell r="B926">
            <v>2</v>
          </cell>
          <cell r="D926" t="str">
            <v>48177649</v>
          </cell>
          <cell r="E926">
            <v>1</v>
          </cell>
        </row>
        <row r="927">
          <cell r="A927" t="str">
            <v>30836524</v>
          </cell>
          <cell r="B927">
            <v>46</v>
          </cell>
          <cell r="D927" t="str">
            <v>48180501</v>
          </cell>
          <cell r="E927">
            <v>7</v>
          </cell>
        </row>
        <row r="928">
          <cell r="A928" t="str">
            <v>30960969</v>
          </cell>
          <cell r="B928">
            <v>5</v>
          </cell>
          <cell r="D928" t="str">
            <v>48182934</v>
          </cell>
          <cell r="E928">
            <v>7</v>
          </cell>
        </row>
        <row r="929">
          <cell r="A929" t="str">
            <v>30963282</v>
          </cell>
          <cell r="B929">
            <v>2</v>
          </cell>
          <cell r="D929" t="str">
            <v>48187873</v>
          </cell>
          <cell r="E929">
            <v>5</v>
          </cell>
        </row>
        <row r="930">
          <cell r="A930" t="str">
            <v>31019584</v>
          </cell>
          <cell r="B930">
            <v>3</v>
          </cell>
          <cell r="D930" t="str">
            <v>48203024</v>
          </cell>
          <cell r="E930">
            <v>1</v>
          </cell>
        </row>
        <row r="931">
          <cell r="A931" t="str">
            <v>31184478</v>
          </cell>
          <cell r="B931">
            <v>2</v>
          </cell>
          <cell r="D931" t="str">
            <v>48209179</v>
          </cell>
          <cell r="E931">
            <v>2</v>
          </cell>
        </row>
        <row r="932">
          <cell r="A932" t="str">
            <v>31668153</v>
          </cell>
          <cell r="B932">
            <v>5</v>
          </cell>
          <cell r="D932" t="str">
            <v>48229235</v>
          </cell>
          <cell r="E932">
            <v>2</v>
          </cell>
        </row>
        <row r="933">
          <cell r="A933" t="str">
            <v>31670992</v>
          </cell>
          <cell r="B933">
            <v>9</v>
          </cell>
          <cell r="D933" t="str">
            <v>48229274</v>
          </cell>
          <cell r="E933">
            <v>3</v>
          </cell>
        </row>
        <row r="934">
          <cell r="A934" t="str">
            <v>31677525</v>
          </cell>
          <cell r="B934">
            <v>1</v>
          </cell>
          <cell r="D934" t="str">
            <v>48239019</v>
          </cell>
          <cell r="E934">
            <v>1</v>
          </cell>
        </row>
        <row r="935">
          <cell r="A935" t="str">
            <v>31823046</v>
          </cell>
          <cell r="B935">
            <v>2</v>
          </cell>
          <cell r="D935" t="str">
            <v>48246160</v>
          </cell>
          <cell r="E935">
            <v>1</v>
          </cell>
        </row>
        <row r="936">
          <cell r="A936" t="str">
            <v>31827136</v>
          </cell>
          <cell r="B936">
            <v>5</v>
          </cell>
          <cell r="D936" t="str">
            <v>48248972</v>
          </cell>
          <cell r="E936">
            <v>1</v>
          </cell>
        </row>
        <row r="937">
          <cell r="A937" t="str">
            <v>32032784</v>
          </cell>
          <cell r="B937">
            <v>9</v>
          </cell>
          <cell r="D937" t="str">
            <v>48298905</v>
          </cell>
          <cell r="E937">
            <v>1</v>
          </cell>
        </row>
        <row r="938">
          <cell r="A938" t="str">
            <v>32043051</v>
          </cell>
          <cell r="B938">
            <v>1</v>
          </cell>
          <cell r="D938" t="str">
            <v>48304174</v>
          </cell>
          <cell r="E938">
            <v>2</v>
          </cell>
        </row>
        <row r="939">
          <cell r="A939" t="str">
            <v>32110174</v>
          </cell>
          <cell r="B939">
            <v>4</v>
          </cell>
          <cell r="D939" t="str">
            <v>48313007</v>
          </cell>
          <cell r="E939">
            <v>1</v>
          </cell>
        </row>
        <row r="940">
          <cell r="A940" t="str">
            <v>32111982</v>
          </cell>
          <cell r="B940">
            <v>8</v>
          </cell>
          <cell r="D940" t="str">
            <v>48322412</v>
          </cell>
          <cell r="E940">
            <v>16</v>
          </cell>
        </row>
        <row r="941">
          <cell r="A941" t="str">
            <v>32408088</v>
          </cell>
          <cell r="B941">
            <v>1</v>
          </cell>
          <cell r="D941" t="str">
            <v>48333117</v>
          </cell>
          <cell r="E941">
            <v>1</v>
          </cell>
        </row>
        <row r="942">
          <cell r="A942" t="str">
            <v>32522169</v>
          </cell>
          <cell r="B942">
            <v>5</v>
          </cell>
          <cell r="D942" t="str">
            <v>48343370</v>
          </cell>
          <cell r="E942">
            <v>638</v>
          </cell>
        </row>
        <row r="943">
          <cell r="A943" t="str">
            <v>32532564</v>
          </cell>
          <cell r="B943">
            <v>1</v>
          </cell>
          <cell r="D943" t="str">
            <v>48357287</v>
          </cell>
          <cell r="E943">
            <v>2</v>
          </cell>
        </row>
        <row r="944">
          <cell r="A944" t="str">
            <v>32544922</v>
          </cell>
          <cell r="B944">
            <v>7</v>
          </cell>
          <cell r="D944" t="str">
            <v>48369059</v>
          </cell>
          <cell r="E944">
            <v>11</v>
          </cell>
        </row>
        <row r="945">
          <cell r="A945" t="str">
            <v>32612932</v>
          </cell>
          <cell r="B945">
            <v>1</v>
          </cell>
          <cell r="D945" t="str">
            <v>48380025</v>
          </cell>
          <cell r="E945">
            <v>1</v>
          </cell>
        </row>
        <row r="946">
          <cell r="A946" t="str">
            <v>32735056</v>
          </cell>
          <cell r="B946">
            <v>3</v>
          </cell>
          <cell r="D946" t="str">
            <v>48384121</v>
          </cell>
          <cell r="E946">
            <v>1</v>
          </cell>
        </row>
        <row r="947">
          <cell r="A947" t="str">
            <v>32789323</v>
          </cell>
          <cell r="B947">
            <v>2</v>
          </cell>
          <cell r="D947" t="str">
            <v>48410005</v>
          </cell>
          <cell r="E947">
            <v>12</v>
          </cell>
        </row>
        <row r="948">
          <cell r="A948" t="str">
            <v>32847760</v>
          </cell>
          <cell r="B948">
            <v>29</v>
          </cell>
          <cell r="D948" t="str">
            <v>48423831</v>
          </cell>
          <cell r="E948">
            <v>1</v>
          </cell>
        </row>
        <row r="949">
          <cell r="A949" t="str">
            <v>32869915</v>
          </cell>
          <cell r="B949">
            <v>2</v>
          </cell>
          <cell r="D949" t="str">
            <v>48426283</v>
          </cell>
          <cell r="E949">
            <v>2</v>
          </cell>
        </row>
        <row r="950">
          <cell r="A950" t="str">
            <v>32878886</v>
          </cell>
          <cell r="B950">
            <v>3</v>
          </cell>
          <cell r="D950" t="str">
            <v>48438066</v>
          </cell>
          <cell r="E950">
            <v>3</v>
          </cell>
        </row>
        <row r="951">
          <cell r="A951" t="str">
            <v>32900910</v>
          </cell>
          <cell r="B951">
            <v>2</v>
          </cell>
          <cell r="D951" t="str">
            <v>48460002</v>
          </cell>
          <cell r="E951">
            <v>8</v>
          </cell>
        </row>
        <row r="952">
          <cell r="A952" t="str">
            <v>32913288</v>
          </cell>
          <cell r="B952">
            <v>104</v>
          </cell>
          <cell r="D952" t="str">
            <v>48462478</v>
          </cell>
          <cell r="E952">
            <v>1</v>
          </cell>
        </row>
        <row r="953">
          <cell r="A953" t="str">
            <v>32915153</v>
          </cell>
          <cell r="B953">
            <v>4</v>
          </cell>
          <cell r="D953" t="str">
            <v>48464819</v>
          </cell>
          <cell r="E953">
            <v>2</v>
          </cell>
        </row>
        <row r="954">
          <cell r="A954" t="str">
            <v>32916999</v>
          </cell>
          <cell r="B954">
            <v>4</v>
          </cell>
          <cell r="D954" t="str">
            <v>48479574</v>
          </cell>
          <cell r="E954">
            <v>1</v>
          </cell>
        </row>
        <row r="955">
          <cell r="A955" t="str">
            <v>32929563</v>
          </cell>
          <cell r="B955">
            <v>1</v>
          </cell>
          <cell r="D955" t="str">
            <v>48503132</v>
          </cell>
          <cell r="E955">
            <v>2</v>
          </cell>
        </row>
        <row r="956">
          <cell r="A956" t="str">
            <v>32949625</v>
          </cell>
          <cell r="B956">
            <v>12</v>
          </cell>
          <cell r="D956" t="str">
            <v>48516623</v>
          </cell>
          <cell r="E956">
            <v>1</v>
          </cell>
        </row>
        <row r="957">
          <cell r="A957" t="str">
            <v>32961764</v>
          </cell>
          <cell r="B957">
            <v>36</v>
          </cell>
          <cell r="D957" t="str">
            <v>48520685</v>
          </cell>
          <cell r="E957">
            <v>1</v>
          </cell>
        </row>
        <row r="958">
          <cell r="A958" t="str">
            <v>32962449</v>
          </cell>
          <cell r="B958">
            <v>85</v>
          </cell>
          <cell r="D958" t="str">
            <v>48531634</v>
          </cell>
          <cell r="E958">
            <v>5</v>
          </cell>
        </row>
        <row r="959">
          <cell r="A959" t="str">
            <v>32962590</v>
          </cell>
          <cell r="B959">
            <v>5</v>
          </cell>
          <cell r="D959" t="str">
            <v>48534704</v>
          </cell>
          <cell r="E959">
            <v>3</v>
          </cell>
        </row>
        <row r="960">
          <cell r="A960" t="str">
            <v>32963754</v>
          </cell>
          <cell r="B960">
            <v>11</v>
          </cell>
          <cell r="D960" t="str">
            <v>48536510</v>
          </cell>
          <cell r="E960">
            <v>1</v>
          </cell>
        </row>
        <row r="961">
          <cell r="A961" t="str">
            <v>32964191</v>
          </cell>
          <cell r="B961">
            <v>3</v>
          </cell>
          <cell r="D961" t="str">
            <v>48560594</v>
          </cell>
          <cell r="E961">
            <v>1</v>
          </cell>
        </row>
        <row r="962">
          <cell r="A962" t="str">
            <v>32972807</v>
          </cell>
          <cell r="B962">
            <v>23</v>
          </cell>
          <cell r="D962" t="str">
            <v>48562715</v>
          </cell>
          <cell r="E962">
            <v>1</v>
          </cell>
        </row>
        <row r="963">
          <cell r="A963" t="str">
            <v>32983399</v>
          </cell>
          <cell r="B963">
            <v>2</v>
          </cell>
          <cell r="D963" t="str">
            <v>48566845</v>
          </cell>
          <cell r="E963">
            <v>1</v>
          </cell>
        </row>
        <row r="964">
          <cell r="A964" t="str">
            <v>32984051</v>
          </cell>
          <cell r="B964">
            <v>33</v>
          </cell>
          <cell r="D964" t="str">
            <v>48574200</v>
          </cell>
          <cell r="E964">
            <v>1</v>
          </cell>
        </row>
        <row r="965">
          <cell r="A965" t="str">
            <v>32987490</v>
          </cell>
          <cell r="B965">
            <v>1</v>
          </cell>
          <cell r="D965" t="str">
            <v>48599943</v>
          </cell>
          <cell r="E965">
            <v>4</v>
          </cell>
        </row>
        <row r="966">
          <cell r="A966" t="str">
            <v>32990354</v>
          </cell>
          <cell r="B966">
            <v>10</v>
          </cell>
          <cell r="D966" t="str">
            <v>48608330</v>
          </cell>
          <cell r="E966">
            <v>5</v>
          </cell>
        </row>
        <row r="967">
          <cell r="A967" t="str">
            <v>32992362</v>
          </cell>
          <cell r="B967">
            <v>13</v>
          </cell>
          <cell r="D967" t="str">
            <v>48617397</v>
          </cell>
          <cell r="E967">
            <v>5</v>
          </cell>
        </row>
        <row r="968">
          <cell r="A968" t="str">
            <v>32992515</v>
          </cell>
          <cell r="B968">
            <v>3</v>
          </cell>
          <cell r="D968" t="str">
            <v>48708778</v>
          </cell>
          <cell r="E968">
            <v>3</v>
          </cell>
        </row>
        <row r="969">
          <cell r="A969" t="str">
            <v>33243062</v>
          </cell>
          <cell r="B969">
            <v>3</v>
          </cell>
          <cell r="D969" t="str">
            <v>48733135</v>
          </cell>
          <cell r="E969">
            <v>2</v>
          </cell>
        </row>
        <row r="970">
          <cell r="A970" t="str">
            <v>33260957</v>
          </cell>
          <cell r="B970">
            <v>1</v>
          </cell>
          <cell r="D970" t="str">
            <v>48736801</v>
          </cell>
          <cell r="E970">
            <v>1</v>
          </cell>
        </row>
        <row r="971">
          <cell r="A971" t="str">
            <v>33342821</v>
          </cell>
          <cell r="B971">
            <v>4</v>
          </cell>
          <cell r="D971" t="str">
            <v>48841656</v>
          </cell>
          <cell r="E971">
            <v>1</v>
          </cell>
        </row>
        <row r="972">
          <cell r="A972" t="str">
            <v>33568346</v>
          </cell>
          <cell r="B972">
            <v>7</v>
          </cell>
          <cell r="D972" t="str">
            <v>48856831</v>
          </cell>
          <cell r="E972">
            <v>2</v>
          </cell>
        </row>
        <row r="973">
          <cell r="A973" t="str">
            <v>33656415</v>
          </cell>
          <cell r="B973">
            <v>2</v>
          </cell>
          <cell r="D973" t="str">
            <v>48873453</v>
          </cell>
          <cell r="E973">
            <v>3</v>
          </cell>
        </row>
        <row r="974">
          <cell r="A974" t="str">
            <v>33671996</v>
          </cell>
          <cell r="B974">
            <v>6</v>
          </cell>
          <cell r="D974" t="str">
            <v>48890290</v>
          </cell>
          <cell r="E974">
            <v>11</v>
          </cell>
        </row>
        <row r="975">
          <cell r="A975" t="str">
            <v>33678146</v>
          </cell>
          <cell r="B975">
            <v>6</v>
          </cell>
          <cell r="D975" t="str">
            <v>48891038</v>
          </cell>
          <cell r="E975">
            <v>1</v>
          </cell>
        </row>
        <row r="976">
          <cell r="A976" t="str">
            <v>33733990</v>
          </cell>
          <cell r="B976">
            <v>7</v>
          </cell>
          <cell r="D976" t="str">
            <v>48914654</v>
          </cell>
          <cell r="E976">
            <v>2</v>
          </cell>
        </row>
        <row r="977">
          <cell r="A977" t="str">
            <v>33804791</v>
          </cell>
          <cell r="B977">
            <v>3</v>
          </cell>
          <cell r="D977" t="str">
            <v>48923674</v>
          </cell>
          <cell r="E977">
            <v>1</v>
          </cell>
        </row>
        <row r="978">
          <cell r="A978" t="str">
            <v>33818678</v>
          </cell>
          <cell r="B978">
            <v>1</v>
          </cell>
          <cell r="D978" t="str">
            <v>48925526</v>
          </cell>
          <cell r="E978">
            <v>7</v>
          </cell>
        </row>
        <row r="979">
          <cell r="A979" t="str">
            <v>33945058</v>
          </cell>
          <cell r="B979">
            <v>5</v>
          </cell>
          <cell r="D979" t="str">
            <v>49014762</v>
          </cell>
          <cell r="E979">
            <v>22</v>
          </cell>
        </row>
        <row r="980">
          <cell r="A980" t="str">
            <v>33960994</v>
          </cell>
          <cell r="B980">
            <v>17</v>
          </cell>
          <cell r="D980" t="str">
            <v>60006066</v>
          </cell>
          <cell r="E980">
            <v>2</v>
          </cell>
        </row>
        <row r="981">
          <cell r="A981" t="str">
            <v>40002236</v>
          </cell>
          <cell r="B981">
            <v>23</v>
          </cell>
          <cell r="D981" t="str">
            <v>60120221</v>
          </cell>
          <cell r="E981">
            <v>1</v>
          </cell>
        </row>
        <row r="982">
          <cell r="A982" t="str">
            <v>40010444</v>
          </cell>
          <cell r="B982">
            <v>7</v>
          </cell>
          <cell r="D982" t="str">
            <v>60150988</v>
          </cell>
          <cell r="E982">
            <v>2</v>
          </cell>
        </row>
        <row r="983">
          <cell r="A983" t="str">
            <v>40012994</v>
          </cell>
          <cell r="B983">
            <v>13</v>
          </cell>
          <cell r="D983" t="str">
            <v>60203462</v>
          </cell>
          <cell r="E983">
            <v>5</v>
          </cell>
        </row>
        <row r="984">
          <cell r="A984" t="str">
            <v>40013726</v>
          </cell>
          <cell r="B984">
            <v>11</v>
          </cell>
          <cell r="D984" t="str">
            <v>60242952</v>
          </cell>
          <cell r="E984">
            <v>1</v>
          </cell>
        </row>
        <row r="985">
          <cell r="A985" t="str">
            <v>40018552</v>
          </cell>
          <cell r="B985">
            <v>2</v>
          </cell>
          <cell r="D985" t="str">
            <v>60460812</v>
          </cell>
          <cell r="E985">
            <v>1</v>
          </cell>
        </row>
        <row r="986">
          <cell r="A986" t="str">
            <v>40019884</v>
          </cell>
          <cell r="B986">
            <v>5</v>
          </cell>
          <cell r="D986" t="str">
            <v>60460815</v>
          </cell>
          <cell r="E986">
            <v>18</v>
          </cell>
        </row>
        <row r="987">
          <cell r="A987" t="str">
            <v>40040780</v>
          </cell>
          <cell r="B987">
            <v>2</v>
          </cell>
          <cell r="D987" t="str">
            <v>60496154</v>
          </cell>
          <cell r="E987">
            <v>2</v>
          </cell>
        </row>
        <row r="988">
          <cell r="A988" t="str">
            <v>40041612</v>
          </cell>
          <cell r="B988">
            <v>78</v>
          </cell>
          <cell r="D988" t="str">
            <v>60549317</v>
          </cell>
          <cell r="E988">
            <v>4</v>
          </cell>
        </row>
        <row r="989">
          <cell r="A989" t="str">
            <v>40043421</v>
          </cell>
          <cell r="B989">
            <v>28</v>
          </cell>
          <cell r="D989" t="str">
            <v>60693751</v>
          </cell>
          <cell r="E989">
            <v>1</v>
          </cell>
        </row>
        <row r="990">
          <cell r="A990" t="str">
            <v>40044043</v>
          </cell>
          <cell r="B990">
            <v>4</v>
          </cell>
          <cell r="D990" t="str">
            <v>60865110</v>
          </cell>
          <cell r="E990">
            <v>2</v>
          </cell>
        </row>
        <row r="991">
          <cell r="A991" t="str">
            <v>40046438</v>
          </cell>
          <cell r="B991">
            <v>52</v>
          </cell>
          <cell r="D991" t="str">
            <v>60867451</v>
          </cell>
          <cell r="E991">
            <v>1</v>
          </cell>
        </row>
        <row r="992">
          <cell r="A992" t="str">
            <v>40046812</v>
          </cell>
          <cell r="B992">
            <v>7</v>
          </cell>
          <cell r="D992" t="str">
            <v>60868103</v>
          </cell>
          <cell r="E992">
            <v>1</v>
          </cell>
        </row>
        <row r="993">
          <cell r="A993" t="str">
            <v>40053567</v>
          </cell>
          <cell r="B993">
            <v>14</v>
          </cell>
          <cell r="D993" t="str">
            <v>60910113</v>
          </cell>
          <cell r="E993">
            <v>3</v>
          </cell>
        </row>
        <row r="994">
          <cell r="A994" t="str">
            <v>40054629</v>
          </cell>
          <cell r="B994">
            <v>12</v>
          </cell>
          <cell r="D994" t="str">
            <v>60988398</v>
          </cell>
          <cell r="E994">
            <v>1</v>
          </cell>
        </row>
        <row r="995">
          <cell r="A995" t="str">
            <v>40059940</v>
          </cell>
          <cell r="B995">
            <v>6</v>
          </cell>
          <cell r="D995" t="str">
            <v>61070490</v>
          </cell>
          <cell r="E995">
            <v>1</v>
          </cell>
        </row>
        <row r="996">
          <cell r="A996" t="str">
            <v>40060236</v>
          </cell>
          <cell r="B996">
            <v>1</v>
          </cell>
          <cell r="D996" t="str">
            <v>61197840</v>
          </cell>
          <cell r="E996">
            <v>1</v>
          </cell>
        </row>
        <row r="997">
          <cell r="A997" t="str">
            <v>40063678</v>
          </cell>
          <cell r="B997">
            <v>7</v>
          </cell>
          <cell r="D997" t="str">
            <v>62005201</v>
          </cell>
          <cell r="E997">
            <v>1</v>
          </cell>
        </row>
        <row r="998">
          <cell r="A998" t="str">
            <v>40076743</v>
          </cell>
          <cell r="B998">
            <v>1</v>
          </cell>
          <cell r="D998" t="str">
            <v>62035109</v>
          </cell>
          <cell r="E998">
            <v>1</v>
          </cell>
        </row>
        <row r="999">
          <cell r="A999" t="str">
            <v>40077373</v>
          </cell>
          <cell r="B999">
            <v>6</v>
          </cell>
          <cell r="D999" t="str">
            <v>62082671</v>
          </cell>
          <cell r="E999">
            <v>2</v>
          </cell>
        </row>
        <row r="1000">
          <cell r="A1000" t="str">
            <v>40077759</v>
          </cell>
          <cell r="B1000">
            <v>4</v>
          </cell>
          <cell r="D1000" t="str">
            <v>62241508</v>
          </cell>
          <cell r="E1000">
            <v>2</v>
          </cell>
        </row>
        <row r="1001">
          <cell r="A1001" t="str">
            <v>40083968</v>
          </cell>
          <cell r="B1001">
            <v>7</v>
          </cell>
          <cell r="D1001" t="str">
            <v>62497160</v>
          </cell>
          <cell r="E1001">
            <v>18</v>
          </cell>
        </row>
        <row r="1002">
          <cell r="A1002" t="str">
            <v>40088622</v>
          </cell>
          <cell r="B1002">
            <v>4</v>
          </cell>
          <cell r="D1002" t="str">
            <v>62534213</v>
          </cell>
          <cell r="E1002">
            <v>1</v>
          </cell>
        </row>
        <row r="1003">
          <cell r="A1003" t="str">
            <v>40090482</v>
          </cell>
          <cell r="B1003">
            <v>4</v>
          </cell>
          <cell r="D1003" t="str">
            <v>62782368</v>
          </cell>
          <cell r="E1003">
            <v>7</v>
          </cell>
        </row>
        <row r="1004">
          <cell r="A1004" t="str">
            <v>40096456</v>
          </cell>
          <cell r="B1004">
            <v>1</v>
          </cell>
          <cell r="D1004" t="str">
            <v>62920758</v>
          </cell>
          <cell r="E1004">
            <v>2</v>
          </cell>
        </row>
        <row r="1005">
          <cell r="A1005" t="str">
            <v>40102585</v>
          </cell>
          <cell r="B1005">
            <v>46</v>
          </cell>
          <cell r="D1005" t="str">
            <v>63260089</v>
          </cell>
          <cell r="E1005">
            <v>1</v>
          </cell>
        </row>
        <row r="1006">
          <cell r="A1006" t="str">
            <v>40124314</v>
          </cell>
          <cell r="B1006">
            <v>1</v>
          </cell>
          <cell r="D1006" t="str">
            <v>70018799</v>
          </cell>
          <cell r="E1006">
            <v>7</v>
          </cell>
        </row>
        <row r="1007">
          <cell r="A1007" t="str">
            <v>40124782</v>
          </cell>
          <cell r="B1007">
            <v>9</v>
          </cell>
          <cell r="D1007" t="str">
            <v>70022155</v>
          </cell>
          <cell r="E1007">
            <v>1</v>
          </cell>
        </row>
        <row r="1008">
          <cell r="A1008" t="str">
            <v>40125905</v>
          </cell>
          <cell r="B1008">
            <v>16</v>
          </cell>
          <cell r="D1008" t="str">
            <v>70031562</v>
          </cell>
          <cell r="E1008">
            <v>1</v>
          </cell>
        </row>
        <row r="1009">
          <cell r="A1009" t="str">
            <v>40129291</v>
          </cell>
          <cell r="B1009">
            <v>6</v>
          </cell>
          <cell r="D1009" t="str">
            <v>70055074</v>
          </cell>
          <cell r="E1009">
            <v>1</v>
          </cell>
        </row>
        <row r="1010">
          <cell r="A1010" t="str">
            <v>40133973</v>
          </cell>
          <cell r="B1010">
            <v>3</v>
          </cell>
          <cell r="D1010" t="str">
            <v>70058597</v>
          </cell>
          <cell r="E1010">
            <v>1</v>
          </cell>
        </row>
        <row r="1011">
          <cell r="A1011" t="str">
            <v>40143407</v>
          </cell>
          <cell r="B1011">
            <v>4</v>
          </cell>
          <cell r="D1011" t="str">
            <v>70059440</v>
          </cell>
          <cell r="E1011">
            <v>2</v>
          </cell>
        </row>
        <row r="1012">
          <cell r="A1012" t="str">
            <v>40143457</v>
          </cell>
          <cell r="B1012">
            <v>10</v>
          </cell>
          <cell r="D1012" t="str">
            <v>70059790</v>
          </cell>
          <cell r="E1012">
            <v>1</v>
          </cell>
        </row>
        <row r="1013">
          <cell r="A1013" t="str">
            <v>40144003</v>
          </cell>
          <cell r="B1013">
            <v>5</v>
          </cell>
          <cell r="D1013" t="str">
            <v>70060933</v>
          </cell>
          <cell r="E1013">
            <v>1</v>
          </cell>
        </row>
        <row r="1014">
          <cell r="A1014" t="str">
            <v>40145366</v>
          </cell>
          <cell r="B1014">
            <v>7</v>
          </cell>
          <cell r="D1014" t="str">
            <v>70086910</v>
          </cell>
          <cell r="E1014">
            <v>2</v>
          </cell>
        </row>
        <row r="1015">
          <cell r="A1015" t="str">
            <v>40149273</v>
          </cell>
          <cell r="B1015">
            <v>13</v>
          </cell>
          <cell r="D1015" t="str">
            <v>70105583</v>
          </cell>
          <cell r="E1015">
            <v>1</v>
          </cell>
        </row>
        <row r="1016">
          <cell r="A1016" t="str">
            <v>40150814</v>
          </cell>
          <cell r="B1016">
            <v>4</v>
          </cell>
          <cell r="D1016" t="str">
            <v>70107494</v>
          </cell>
          <cell r="E1016">
            <v>1</v>
          </cell>
        </row>
        <row r="1017">
          <cell r="A1017" t="str">
            <v>40152068</v>
          </cell>
          <cell r="B1017">
            <v>28</v>
          </cell>
          <cell r="D1017" t="str">
            <v>70108502</v>
          </cell>
          <cell r="E1017">
            <v>4</v>
          </cell>
        </row>
        <row r="1018">
          <cell r="A1018" t="str">
            <v>40152426</v>
          </cell>
          <cell r="B1018">
            <v>4</v>
          </cell>
          <cell r="D1018" t="str">
            <v>70112440</v>
          </cell>
          <cell r="E1018">
            <v>1</v>
          </cell>
        </row>
        <row r="1019">
          <cell r="A1019" t="str">
            <v>40159979</v>
          </cell>
          <cell r="B1019">
            <v>8</v>
          </cell>
          <cell r="D1019" t="str">
            <v>70122289</v>
          </cell>
          <cell r="E1019">
            <v>12</v>
          </cell>
        </row>
        <row r="1020">
          <cell r="A1020" t="str">
            <v>40165121</v>
          </cell>
          <cell r="B1020">
            <v>3</v>
          </cell>
          <cell r="D1020" t="str">
            <v>70137073</v>
          </cell>
          <cell r="E1020">
            <v>1</v>
          </cell>
        </row>
        <row r="1021">
          <cell r="A1021" t="str">
            <v>40170328</v>
          </cell>
          <cell r="B1021">
            <v>5</v>
          </cell>
          <cell r="D1021" t="str">
            <v>70144028</v>
          </cell>
          <cell r="E1021">
            <v>1</v>
          </cell>
        </row>
        <row r="1022">
          <cell r="A1022" t="str">
            <v>40186500</v>
          </cell>
          <cell r="B1022">
            <v>10</v>
          </cell>
          <cell r="D1022" t="str">
            <v>70166004</v>
          </cell>
          <cell r="E1022">
            <v>15</v>
          </cell>
        </row>
        <row r="1023">
          <cell r="A1023" t="str">
            <v>40199518</v>
          </cell>
          <cell r="B1023">
            <v>250</v>
          </cell>
          <cell r="D1023" t="str">
            <v>70185235</v>
          </cell>
          <cell r="E1023">
            <v>1</v>
          </cell>
        </row>
        <row r="1024">
          <cell r="A1024" t="str">
            <v>40203540</v>
          </cell>
          <cell r="B1024">
            <v>3</v>
          </cell>
          <cell r="D1024" t="str">
            <v>70210718</v>
          </cell>
          <cell r="E1024">
            <v>2</v>
          </cell>
        </row>
        <row r="1025">
          <cell r="A1025" t="str">
            <v>40205687</v>
          </cell>
          <cell r="B1025">
            <v>6</v>
          </cell>
          <cell r="D1025" t="str">
            <v>70216695</v>
          </cell>
          <cell r="E1025">
            <v>1</v>
          </cell>
        </row>
        <row r="1026">
          <cell r="A1026" t="str">
            <v>40209363</v>
          </cell>
          <cell r="B1026">
            <v>11</v>
          </cell>
          <cell r="D1026" t="str">
            <v>70218976</v>
          </cell>
          <cell r="E1026">
            <v>1</v>
          </cell>
        </row>
        <row r="1027">
          <cell r="A1027" t="str">
            <v>40218345</v>
          </cell>
          <cell r="B1027">
            <v>17</v>
          </cell>
          <cell r="D1027" t="str">
            <v>70234734</v>
          </cell>
          <cell r="E1027">
            <v>5</v>
          </cell>
        </row>
        <row r="1028">
          <cell r="A1028" t="str">
            <v>40218693</v>
          </cell>
          <cell r="B1028">
            <v>4</v>
          </cell>
          <cell r="D1028" t="str">
            <v>70237548</v>
          </cell>
          <cell r="E1028">
            <v>2</v>
          </cell>
        </row>
        <row r="1029">
          <cell r="A1029" t="str">
            <v>40221314</v>
          </cell>
          <cell r="B1029">
            <v>1</v>
          </cell>
          <cell r="D1029" t="str">
            <v>70242853</v>
          </cell>
          <cell r="E1029">
            <v>1</v>
          </cell>
        </row>
        <row r="1030">
          <cell r="A1030" t="str">
            <v>40227943</v>
          </cell>
          <cell r="B1030">
            <v>21</v>
          </cell>
          <cell r="D1030" t="str">
            <v>70258153</v>
          </cell>
          <cell r="E1030">
            <v>1</v>
          </cell>
        </row>
        <row r="1031">
          <cell r="A1031" t="str">
            <v>40229788</v>
          </cell>
          <cell r="B1031">
            <v>9</v>
          </cell>
          <cell r="D1031" t="str">
            <v>70271781</v>
          </cell>
          <cell r="E1031">
            <v>8</v>
          </cell>
        </row>
        <row r="1032">
          <cell r="A1032" t="str">
            <v>40240981</v>
          </cell>
          <cell r="B1032">
            <v>3</v>
          </cell>
          <cell r="D1032" t="str">
            <v>70297978</v>
          </cell>
          <cell r="E1032">
            <v>1</v>
          </cell>
        </row>
        <row r="1033">
          <cell r="A1033" t="str">
            <v>40243603</v>
          </cell>
          <cell r="B1033">
            <v>14</v>
          </cell>
          <cell r="D1033" t="str">
            <v>70302583</v>
          </cell>
          <cell r="E1033">
            <v>7</v>
          </cell>
        </row>
        <row r="1034">
          <cell r="A1034" t="str">
            <v>40243615</v>
          </cell>
          <cell r="B1034">
            <v>10</v>
          </cell>
          <cell r="D1034" t="str">
            <v>70324383</v>
          </cell>
          <cell r="E1034">
            <v>2</v>
          </cell>
        </row>
        <row r="1035">
          <cell r="A1035" t="str">
            <v>40249788</v>
          </cell>
          <cell r="B1035">
            <v>4</v>
          </cell>
          <cell r="D1035" t="str">
            <v>70331246</v>
          </cell>
          <cell r="E1035">
            <v>3</v>
          </cell>
        </row>
        <row r="1036">
          <cell r="A1036" t="str">
            <v>40251867</v>
          </cell>
          <cell r="B1036">
            <v>10</v>
          </cell>
          <cell r="D1036" t="str">
            <v>70351856</v>
          </cell>
          <cell r="E1036">
            <v>1</v>
          </cell>
        </row>
        <row r="1037">
          <cell r="A1037" t="str">
            <v>40255495</v>
          </cell>
          <cell r="B1037">
            <v>1</v>
          </cell>
          <cell r="D1037" t="str">
            <v>70355474</v>
          </cell>
          <cell r="E1037">
            <v>1</v>
          </cell>
        </row>
        <row r="1038">
          <cell r="A1038" t="str">
            <v>40261908</v>
          </cell>
          <cell r="B1038">
            <v>4</v>
          </cell>
          <cell r="D1038" t="str">
            <v>70384316</v>
          </cell>
          <cell r="E1038">
            <v>1</v>
          </cell>
        </row>
        <row r="1039">
          <cell r="A1039" t="str">
            <v>40264308</v>
          </cell>
          <cell r="B1039">
            <v>14</v>
          </cell>
          <cell r="D1039" t="str">
            <v>70398624</v>
          </cell>
          <cell r="E1039">
            <v>1</v>
          </cell>
        </row>
        <row r="1040">
          <cell r="A1040" t="str">
            <v>40264332</v>
          </cell>
          <cell r="B1040">
            <v>7</v>
          </cell>
          <cell r="D1040" t="str">
            <v>70417760</v>
          </cell>
          <cell r="E1040">
            <v>1</v>
          </cell>
        </row>
        <row r="1041">
          <cell r="A1041" t="str">
            <v>40265912</v>
          </cell>
          <cell r="B1041">
            <v>5</v>
          </cell>
          <cell r="D1041" t="str">
            <v>70420625</v>
          </cell>
          <cell r="E1041">
            <v>16</v>
          </cell>
        </row>
        <row r="1042">
          <cell r="A1042" t="str">
            <v>40268935</v>
          </cell>
          <cell r="B1042">
            <v>2</v>
          </cell>
          <cell r="D1042" t="str">
            <v>70423737</v>
          </cell>
          <cell r="E1042">
            <v>2</v>
          </cell>
        </row>
        <row r="1043">
          <cell r="A1043" t="str">
            <v>40270465</v>
          </cell>
          <cell r="B1043">
            <v>2</v>
          </cell>
          <cell r="D1043" t="str">
            <v>70444646</v>
          </cell>
          <cell r="E1043">
            <v>7</v>
          </cell>
        </row>
        <row r="1044">
          <cell r="A1044" t="str">
            <v>40273624</v>
          </cell>
          <cell r="B1044">
            <v>4</v>
          </cell>
          <cell r="D1044" t="str">
            <v>70506203</v>
          </cell>
          <cell r="E1044">
            <v>2</v>
          </cell>
        </row>
        <row r="1045">
          <cell r="A1045" t="str">
            <v>40283004</v>
          </cell>
          <cell r="B1045">
            <v>11</v>
          </cell>
          <cell r="D1045" t="str">
            <v>70539279</v>
          </cell>
          <cell r="E1045">
            <v>1</v>
          </cell>
        </row>
        <row r="1046">
          <cell r="A1046" t="str">
            <v>40286777</v>
          </cell>
          <cell r="B1046">
            <v>4</v>
          </cell>
          <cell r="D1046" t="str">
            <v>70659743</v>
          </cell>
          <cell r="E1046">
            <v>1</v>
          </cell>
        </row>
        <row r="1047">
          <cell r="A1047" t="str">
            <v>40286805</v>
          </cell>
          <cell r="B1047">
            <v>2</v>
          </cell>
          <cell r="D1047" t="str">
            <v>70674297</v>
          </cell>
          <cell r="E1047">
            <v>8</v>
          </cell>
        </row>
        <row r="1048">
          <cell r="A1048" t="str">
            <v>40286916</v>
          </cell>
          <cell r="B1048">
            <v>8</v>
          </cell>
          <cell r="D1048" t="str">
            <v>70676677</v>
          </cell>
          <cell r="E1048">
            <v>3</v>
          </cell>
        </row>
        <row r="1049">
          <cell r="A1049" t="str">
            <v>40290524</v>
          </cell>
          <cell r="B1049">
            <v>3</v>
          </cell>
          <cell r="D1049" t="str">
            <v>70683393</v>
          </cell>
          <cell r="E1049">
            <v>1</v>
          </cell>
        </row>
        <row r="1050">
          <cell r="A1050" t="str">
            <v>40291961</v>
          </cell>
          <cell r="B1050">
            <v>8</v>
          </cell>
          <cell r="D1050" t="str">
            <v>70685213</v>
          </cell>
          <cell r="E1050">
            <v>1</v>
          </cell>
        </row>
        <row r="1051">
          <cell r="A1051" t="str">
            <v>40300698</v>
          </cell>
          <cell r="B1051">
            <v>15</v>
          </cell>
          <cell r="D1051" t="str">
            <v>70693149</v>
          </cell>
          <cell r="E1051">
            <v>1</v>
          </cell>
        </row>
        <row r="1052">
          <cell r="A1052" t="str">
            <v>40307508</v>
          </cell>
          <cell r="B1052">
            <v>4</v>
          </cell>
          <cell r="D1052" t="str">
            <v>70746984</v>
          </cell>
          <cell r="E1052">
            <v>3</v>
          </cell>
        </row>
        <row r="1053">
          <cell r="A1053" t="str">
            <v>40307782</v>
          </cell>
          <cell r="B1053">
            <v>1</v>
          </cell>
          <cell r="D1053" t="str">
            <v>70753643</v>
          </cell>
          <cell r="E1053">
            <v>3</v>
          </cell>
        </row>
        <row r="1054">
          <cell r="A1054" t="str">
            <v>40311745</v>
          </cell>
          <cell r="B1054">
            <v>5</v>
          </cell>
          <cell r="D1054" t="str">
            <v>70761304</v>
          </cell>
          <cell r="E1054">
            <v>2</v>
          </cell>
        </row>
        <row r="1055">
          <cell r="A1055" t="str">
            <v>40315366</v>
          </cell>
          <cell r="B1055">
            <v>17</v>
          </cell>
          <cell r="D1055" t="str">
            <v>70782044</v>
          </cell>
          <cell r="E1055">
            <v>1</v>
          </cell>
        </row>
        <row r="1056">
          <cell r="A1056" t="str">
            <v>40325076</v>
          </cell>
          <cell r="B1056">
            <v>10</v>
          </cell>
          <cell r="D1056" t="str">
            <v>70792525</v>
          </cell>
          <cell r="E1056">
            <v>3</v>
          </cell>
        </row>
        <row r="1057">
          <cell r="A1057" t="str">
            <v>40330851</v>
          </cell>
          <cell r="B1057">
            <v>12</v>
          </cell>
          <cell r="D1057" t="str">
            <v>70805534</v>
          </cell>
          <cell r="E1057">
            <v>1</v>
          </cell>
        </row>
        <row r="1058">
          <cell r="A1058" t="str">
            <v>40336693</v>
          </cell>
          <cell r="B1058">
            <v>5</v>
          </cell>
          <cell r="D1058" t="str">
            <v>70817571</v>
          </cell>
          <cell r="E1058">
            <v>1</v>
          </cell>
        </row>
        <row r="1059">
          <cell r="A1059" t="str">
            <v>40343304</v>
          </cell>
          <cell r="B1059">
            <v>2</v>
          </cell>
          <cell r="D1059" t="str">
            <v>70846606</v>
          </cell>
          <cell r="E1059">
            <v>1</v>
          </cell>
        </row>
        <row r="1060">
          <cell r="A1060" t="str">
            <v>40345249</v>
          </cell>
          <cell r="B1060">
            <v>4</v>
          </cell>
          <cell r="D1060" t="str">
            <v>70892868</v>
          </cell>
          <cell r="E1060">
            <v>2</v>
          </cell>
        </row>
        <row r="1061">
          <cell r="A1061" t="str">
            <v>40346256</v>
          </cell>
          <cell r="B1061">
            <v>130</v>
          </cell>
          <cell r="D1061" t="str">
            <v>70896462</v>
          </cell>
          <cell r="E1061">
            <v>2</v>
          </cell>
        </row>
        <row r="1062">
          <cell r="A1062" t="str">
            <v>40353971</v>
          </cell>
          <cell r="B1062">
            <v>1</v>
          </cell>
          <cell r="D1062" t="str">
            <v>70972318</v>
          </cell>
          <cell r="E1062">
            <v>1</v>
          </cell>
        </row>
        <row r="1063">
          <cell r="A1063" t="str">
            <v>40356760</v>
          </cell>
          <cell r="B1063">
            <v>2</v>
          </cell>
          <cell r="D1063" t="str">
            <v>70988810</v>
          </cell>
          <cell r="E1063">
            <v>1</v>
          </cell>
        </row>
        <row r="1064">
          <cell r="A1064" t="str">
            <v>40365688</v>
          </cell>
          <cell r="B1064">
            <v>1</v>
          </cell>
          <cell r="D1064" t="str">
            <v>71018218</v>
          </cell>
          <cell r="E1064">
            <v>1</v>
          </cell>
        </row>
        <row r="1065">
          <cell r="A1065" t="str">
            <v>40369257</v>
          </cell>
          <cell r="B1065">
            <v>1</v>
          </cell>
          <cell r="D1065" t="str">
            <v>71031249</v>
          </cell>
          <cell r="E1065">
            <v>2</v>
          </cell>
        </row>
        <row r="1066">
          <cell r="A1066" t="str">
            <v>40371848</v>
          </cell>
          <cell r="B1066">
            <v>4</v>
          </cell>
          <cell r="D1066" t="str">
            <v>71067827</v>
          </cell>
          <cell r="E1066">
            <v>1</v>
          </cell>
        </row>
        <row r="1067">
          <cell r="A1067" t="str">
            <v>40374490</v>
          </cell>
          <cell r="B1067">
            <v>4</v>
          </cell>
          <cell r="D1067" t="str">
            <v>71105489</v>
          </cell>
          <cell r="E1067">
            <v>2</v>
          </cell>
        </row>
        <row r="1068">
          <cell r="A1068" t="str">
            <v>40376302</v>
          </cell>
          <cell r="B1068">
            <v>8</v>
          </cell>
          <cell r="D1068" t="str">
            <v>71113287</v>
          </cell>
          <cell r="E1068">
            <v>4</v>
          </cell>
        </row>
        <row r="1069">
          <cell r="A1069" t="str">
            <v>40376686</v>
          </cell>
          <cell r="B1069">
            <v>5</v>
          </cell>
          <cell r="D1069" t="str">
            <v>71135480</v>
          </cell>
          <cell r="E1069">
            <v>1</v>
          </cell>
        </row>
        <row r="1070">
          <cell r="A1070" t="str">
            <v>40382823</v>
          </cell>
          <cell r="B1070">
            <v>2</v>
          </cell>
          <cell r="D1070" t="str">
            <v>71215949</v>
          </cell>
          <cell r="E1070">
            <v>2</v>
          </cell>
        </row>
        <row r="1071">
          <cell r="A1071" t="str">
            <v>40389967</v>
          </cell>
          <cell r="B1071">
            <v>9</v>
          </cell>
          <cell r="D1071" t="str">
            <v>71215958</v>
          </cell>
          <cell r="E1071">
            <v>1</v>
          </cell>
        </row>
        <row r="1072">
          <cell r="A1072" t="str">
            <v>40391350</v>
          </cell>
          <cell r="B1072">
            <v>3</v>
          </cell>
          <cell r="D1072" t="str">
            <v>71215959</v>
          </cell>
          <cell r="E1072">
            <v>2</v>
          </cell>
        </row>
        <row r="1073">
          <cell r="A1073" t="str">
            <v>40394293</v>
          </cell>
          <cell r="B1073">
            <v>20</v>
          </cell>
          <cell r="D1073" t="str">
            <v>71238532</v>
          </cell>
          <cell r="E1073">
            <v>2</v>
          </cell>
        </row>
        <row r="1074">
          <cell r="A1074" t="str">
            <v>40408210</v>
          </cell>
          <cell r="B1074">
            <v>1</v>
          </cell>
          <cell r="D1074" t="str">
            <v>71307959</v>
          </cell>
          <cell r="E1074">
            <v>2</v>
          </cell>
        </row>
        <row r="1075">
          <cell r="A1075" t="str">
            <v>40410183</v>
          </cell>
          <cell r="B1075">
            <v>4</v>
          </cell>
          <cell r="D1075" t="str">
            <v>71309795</v>
          </cell>
          <cell r="E1075">
            <v>1</v>
          </cell>
        </row>
        <row r="1076">
          <cell r="A1076" t="str">
            <v>40417696</v>
          </cell>
          <cell r="B1076">
            <v>17</v>
          </cell>
          <cell r="D1076" t="str">
            <v>71413870</v>
          </cell>
          <cell r="E1076">
            <v>1</v>
          </cell>
        </row>
        <row r="1077">
          <cell r="A1077" t="str">
            <v>40421460</v>
          </cell>
          <cell r="B1077">
            <v>28</v>
          </cell>
          <cell r="D1077" t="str">
            <v>71433750</v>
          </cell>
          <cell r="E1077">
            <v>1</v>
          </cell>
        </row>
        <row r="1078">
          <cell r="A1078" t="str">
            <v>40425269</v>
          </cell>
          <cell r="B1078">
            <v>1</v>
          </cell>
          <cell r="D1078" t="str">
            <v>71459868</v>
          </cell>
          <cell r="E1078">
            <v>1</v>
          </cell>
        </row>
        <row r="1079">
          <cell r="A1079" t="str">
            <v>40426026</v>
          </cell>
          <cell r="B1079">
            <v>2</v>
          </cell>
          <cell r="D1079" t="str">
            <v>71489584</v>
          </cell>
          <cell r="E1079">
            <v>2</v>
          </cell>
        </row>
        <row r="1080">
          <cell r="A1080" t="str">
            <v>40427985</v>
          </cell>
          <cell r="B1080">
            <v>12</v>
          </cell>
          <cell r="D1080" t="str">
            <v>71524060</v>
          </cell>
          <cell r="E1080">
            <v>1</v>
          </cell>
        </row>
        <row r="1081">
          <cell r="A1081" t="str">
            <v>40430395</v>
          </cell>
          <cell r="B1081">
            <v>20</v>
          </cell>
          <cell r="D1081" t="str">
            <v>71541366</v>
          </cell>
          <cell r="E1081">
            <v>1</v>
          </cell>
        </row>
        <row r="1082">
          <cell r="A1082" t="str">
            <v>40436393</v>
          </cell>
          <cell r="B1082">
            <v>8</v>
          </cell>
          <cell r="D1082" t="str">
            <v>71568032</v>
          </cell>
          <cell r="E1082">
            <v>2</v>
          </cell>
        </row>
        <row r="1083">
          <cell r="A1083" t="str">
            <v>40439560</v>
          </cell>
          <cell r="B1083">
            <v>6</v>
          </cell>
          <cell r="D1083" t="str">
            <v>71591760</v>
          </cell>
          <cell r="E1083">
            <v>1</v>
          </cell>
        </row>
        <row r="1084">
          <cell r="A1084" t="str">
            <v>40442053</v>
          </cell>
          <cell r="B1084">
            <v>12</v>
          </cell>
          <cell r="D1084" t="str">
            <v>71592271</v>
          </cell>
          <cell r="E1084">
            <v>1</v>
          </cell>
        </row>
        <row r="1085">
          <cell r="A1085" t="str">
            <v>40445780</v>
          </cell>
          <cell r="B1085">
            <v>13</v>
          </cell>
          <cell r="D1085" t="str">
            <v>71593853</v>
          </cell>
          <cell r="E1085">
            <v>1</v>
          </cell>
        </row>
        <row r="1086">
          <cell r="A1086" t="str">
            <v>40455973</v>
          </cell>
          <cell r="B1086">
            <v>3</v>
          </cell>
          <cell r="D1086" t="str">
            <v>71600179</v>
          </cell>
          <cell r="E1086">
            <v>4</v>
          </cell>
        </row>
        <row r="1087">
          <cell r="A1087" t="str">
            <v>40461470</v>
          </cell>
          <cell r="B1087">
            <v>2</v>
          </cell>
          <cell r="D1087" t="str">
            <v>71615293</v>
          </cell>
          <cell r="E1087">
            <v>1</v>
          </cell>
        </row>
        <row r="1088">
          <cell r="A1088" t="str">
            <v>40464456</v>
          </cell>
          <cell r="B1088">
            <v>93</v>
          </cell>
          <cell r="D1088" t="str">
            <v>71623764</v>
          </cell>
          <cell r="E1088">
            <v>1</v>
          </cell>
        </row>
        <row r="1089">
          <cell r="A1089" t="str">
            <v>40467723</v>
          </cell>
          <cell r="B1089">
            <v>11</v>
          </cell>
          <cell r="D1089" t="str">
            <v>71646571</v>
          </cell>
          <cell r="E1089">
            <v>3</v>
          </cell>
        </row>
        <row r="1090">
          <cell r="A1090" t="str">
            <v>40467803</v>
          </cell>
          <cell r="B1090">
            <v>12</v>
          </cell>
          <cell r="D1090" t="str">
            <v>71646853</v>
          </cell>
          <cell r="E1090">
            <v>1</v>
          </cell>
        </row>
        <row r="1091">
          <cell r="A1091" t="str">
            <v>40468815</v>
          </cell>
          <cell r="B1091">
            <v>14</v>
          </cell>
          <cell r="D1091" t="str">
            <v>71651589</v>
          </cell>
          <cell r="E1091">
            <v>1</v>
          </cell>
        </row>
        <row r="1092">
          <cell r="A1092" t="str">
            <v>40469469</v>
          </cell>
          <cell r="B1092">
            <v>2</v>
          </cell>
          <cell r="D1092" t="str">
            <v>71654561</v>
          </cell>
          <cell r="E1092">
            <v>1</v>
          </cell>
        </row>
        <row r="1093">
          <cell r="A1093" t="str">
            <v>40479282</v>
          </cell>
          <cell r="B1093">
            <v>6</v>
          </cell>
          <cell r="D1093" t="str">
            <v>71700037</v>
          </cell>
          <cell r="E1093">
            <v>1</v>
          </cell>
        </row>
        <row r="1094">
          <cell r="A1094" t="str">
            <v>40480899</v>
          </cell>
          <cell r="B1094">
            <v>2</v>
          </cell>
          <cell r="D1094" t="str">
            <v>71710845</v>
          </cell>
          <cell r="E1094">
            <v>1</v>
          </cell>
        </row>
        <row r="1095">
          <cell r="A1095" t="str">
            <v>40481139</v>
          </cell>
          <cell r="B1095">
            <v>3</v>
          </cell>
          <cell r="D1095" t="str">
            <v>71743574</v>
          </cell>
          <cell r="E1095">
            <v>51</v>
          </cell>
        </row>
        <row r="1096">
          <cell r="A1096" t="str">
            <v>40488647</v>
          </cell>
          <cell r="B1096">
            <v>4</v>
          </cell>
          <cell r="D1096" t="str">
            <v>71781040</v>
          </cell>
          <cell r="E1096">
            <v>1</v>
          </cell>
        </row>
        <row r="1097">
          <cell r="A1097" t="str">
            <v>40493694</v>
          </cell>
          <cell r="B1097">
            <v>2</v>
          </cell>
          <cell r="D1097" t="str">
            <v>71791492</v>
          </cell>
          <cell r="E1097">
            <v>1</v>
          </cell>
        </row>
        <row r="1098">
          <cell r="A1098" t="str">
            <v>40508528</v>
          </cell>
          <cell r="B1098">
            <v>1</v>
          </cell>
          <cell r="D1098" t="str">
            <v>71810172</v>
          </cell>
          <cell r="E1098">
            <v>2</v>
          </cell>
        </row>
        <row r="1099">
          <cell r="A1099" t="str">
            <v>40508568</v>
          </cell>
          <cell r="B1099">
            <v>8</v>
          </cell>
          <cell r="D1099" t="str">
            <v>71828486</v>
          </cell>
          <cell r="E1099">
            <v>3</v>
          </cell>
        </row>
        <row r="1100">
          <cell r="A1100" t="str">
            <v>40519797</v>
          </cell>
          <cell r="B1100">
            <v>5</v>
          </cell>
          <cell r="D1100" t="str">
            <v>71845766</v>
          </cell>
          <cell r="E1100">
            <v>1</v>
          </cell>
        </row>
        <row r="1101">
          <cell r="A1101" t="str">
            <v>40520514</v>
          </cell>
          <cell r="B1101">
            <v>10</v>
          </cell>
          <cell r="D1101" t="str">
            <v>71853746</v>
          </cell>
          <cell r="E1101">
            <v>1</v>
          </cell>
        </row>
        <row r="1102">
          <cell r="A1102" t="str">
            <v>40522238</v>
          </cell>
          <cell r="B1102">
            <v>4</v>
          </cell>
          <cell r="D1102" t="str">
            <v>71877625</v>
          </cell>
          <cell r="E1102">
            <v>1</v>
          </cell>
        </row>
        <row r="1103">
          <cell r="A1103" t="str">
            <v>40528602</v>
          </cell>
          <cell r="B1103">
            <v>1</v>
          </cell>
          <cell r="D1103" t="str">
            <v>71885425</v>
          </cell>
          <cell r="E1103">
            <v>1</v>
          </cell>
        </row>
        <row r="1104">
          <cell r="A1104" t="str">
            <v>40532146</v>
          </cell>
          <cell r="B1104">
            <v>12</v>
          </cell>
          <cell r="D1104" t="str">
            <v>71900622</v>
          </cell>
          <cell r="E1104">
            <v>1</v>
          </cell>
        </row>
        <row r="1105">
          <cell r="A1105" t="str">
            <v>40534440</v>
          </cell>
          <cell r="B1105">
            <v>2</v>
          </cell>
          <cell r="D1105" t="str">
            <v>71942231</v>
          </cell>
          <cell r="E1105">
            <v>1</v>
          </cell>
        </row>
        <row r="1106">
          <cell r="A1106" t="str">
            <v>40538431</v>
          </cell>
          <cell r="B1106">
            <v>1</v>
          </cell>
          <cell r="D1106" t="str">
            <v>71951328</v>
          </cell>
          <cell r="E1106">
            <v>3</v>
          </cell>
        </row>
        <row r="1107">
          <cell r="A1107" t="str">
            <v>40539192</v>
          </cell>
          <cell r="B1107">
            <v>9</v>
          </cell>
          <cell r="D1107" t="str">
            <v>71962237</v>
          </cell>
          <cell r="E1107">
            <v>5</v>
          </cell>
        </row>
        <row r="1108">
          <cell r="A1108" t="str">
            <v>40545241</v>
          </cell>
          <cell r="B1108">
            <v>11</v>
          </cell>
          <cell r="D1108" t="str">
            <v>71965720</v>
          </cell>
          <cell r="E1108">
            <v>1</v>
          </cell>
        </row>
        <row r="1109">
          <cell r="A1109" t="str">
            <v>40549772</v>
          </cell>
          <cell r="B1109">
            <v>14</v>
          </cell>
          <cell r="D1109" t="str">
            <v>71999627</v>
          </cell>
          <cell r="E1109">
            <v>1</v>
          </cell>
        </row>
        <row r="1110">
          <cell r="A1110" t="str">
            <v>40551897</v>
          </cell>
          <cell r="B1110">
            <v>17</v>
          </cell>
          <cell r="D1110" t="str">
            <v>72011824</v>
          </cell>
          <cell r="E1110">
            <v>1</v>
          </cell>
        </row>
        <row r="1111">
          <cell r="A1111" t="str">
            <v>40562965</v>
          </cell>
          <cell r="B1111">
            <v>7</v>
          </cell>
          <cell r="D1111" t="str">
            <v>72018088</v>
          </cell>
          <cell r="E1111">
            <v>1</v>
          </cell>
        </row>
        <row r="1112">
          <cell r="A1112" t="str">
            <v>40576677</v>
          </cell>
          <cell r="B1112">
            <v>2</v>
          </cell>
          <cell r="D1112" t="str">
            <v>72045637</v>
          </cell>
          <cell r="E1112">
            <v>1</v>
          </cell>
        </row>
        <row r="1113">
          <cell r="A1113" t="str">
            <v>40577721</v>
          </cell>
          <cell r="B1113">
            <v>8</v>
          </cell>
          <cell r="D1113" t="str">
            <v>72047106</v>
          </cell>
          <cell r="E1113">
            <v>7</v>
          </cell>
        </row>
        <row r="1114">
          <cell r="A1114" t="str">
            <v>40578849</v>
          </cell>
          <cell r="B1114">
            <v>6</v>
          </cell>
          <cell r="D1114" t="str">
            <v>72047768</v>
          </cell>
          <cell r="E1114">
            <v>3</v>
          </cell>
        </row>
        <row r="1115">
          <cell r="A1115" t="str">
            <v>40589581</v>
          </cell>
          <cell r="B1115">
            <v>7</v>
          </cell>
          <cell r="D1115" t="str">
            <v>72048418</v>
          </cell>
          <cell r="E1115">
            <v>1</v>
          </cell>
        </row>
        <row r="1116">
          <cell r="A1116" t="str">
            <v>40601274</v>
          </cell>
          <cell r="B1116">
            <v>2</v>
          </cell>
          <cell r="D1116" t="str">
            <v>72051475</v>
          </cell>
          <cell r="E1116">
            <v>1</v>
          </cell>
        </row>
        <row r="1117">
          <cell r="A1117" t="str">
            <v>40602077</v>
          </cell>
          <cell r="B1117">
            <v>3</v>
          </cell>
          <cell r="D1117" t="str">
            <v>72097010</v>
          </cell>
          <cell r="E1117">
            <v>1</v>
          </cell>
        </row>
        <row r="1118">
          <cell r="A1118" t="str">
            <v>40604622</v>
          </cell>
          <cell r="B1118">
            <v>6</v>
          </cell>
          <cell r="D1118" t="str">
            <v>72122088</v>
          </cell>
          <cell r="E1118">
            <v>1</v>
          </cell>
        </row>
        <row r="1119">
          <cell r="A1119" t="str">
            <v>40611193</v>
          </cell>
          <cell r="B1119">
            <v>27</v>
          </cell>
          <cell r="D1119" t="str">
            <v>72123563</v>
          </cell>
          <cell r="E1119">
            <v>2</v>
          </cell>
        </row>
        <row r="1120">
          <cell r="A1120" t="str">
            <v>40614580</v>
          </cell>
          <cell r="B1120">
            <v>40</v>
          </cell>
          <cell r="D1120" t="str">
            <v>72132171</v>
          </cell>
          <cell r="E1120">
            <v>1</v>
          </cell>
        </row>
        <row r="1121">
          <cell r="A1121" t="str">
            <v>40621258</v>
          </cell>
          <cell r="B1121">
            <v>1</v>
          </cell>
          <cell r="D1121" t="str">
            <v>72165945</v>
          </cell>
          <cell r="E1121">
            <v>2</v>
          </cell>
        </row>
        <row r="1122">
          <cell r="A1122" t="str">
            <v>40630330</v>
          </cell>
          <cell r="B1122">
            <v>11</v>
          </cell>
          <cell r="D1122" t="str">
            <v>72170249</v>
          </cell>
          <cell r="E1122">
            <v>14</v>
          </cell>
        </row>
        <row r="1123">
          <cell r="A1123" t="str">
            <v>40630673</v>
          </cell>
          <cell r="B1123">
            <v>11</v>
          </cell>
          <cell r="D1123" t="str">
            <v>72228636</v>
          </cell>
          <cell r="E1123">
            <v>1</v>
          </cell>
        </row>
        <row r="1124">
          <cell r="A1124" t="str">
            <v>40631292</v>
          </cell>
          <cell r="B1124">
            <v>4</v>
          </cell>
          <cell r="D1124" t="str">
            <v>72233280</v>
          </cell>
          <cell r="E1124">
            <v>1</v>
          </cell>
        </row>
        <row r="1125">
          <cell r="A1125" t="str">
            <v>40632626</v>
          </cell>
          <cell r="B1125">
            <v>1</v>
          </cell>
          <cell r="D1125" t="str">
            <v>72252426</v>
          </cell>
          <cell r="E1125">
            <v>1</v>
          </cell>
        </row>
        <row r="1126">
          <cell r="A1126" t="str">
            <v>40633908</v>
          </cell>
          <cell r="B1126">
            <v>1</v>
          </cell>
          <cell r="D1126" t="str">
            <v>72277913</v>
          </cell>
          <cell r="E1126">
            <v>2</v>
          </cell>
        </row>
        <row r="1127">
          <cell r="A1127" t="str">
            <v>40638298</v>
          </cell>
          <cell r="B1127">
            <v>3</v>
          </cell>
          <cell r="D1127" t="str">
            <v>72327353</v>
          </cell>
          <cell r="E1127">
            <v>1</v>
          </cell>
        </row>
        <row r="1128">
          <cell r="A1128" t="str">
            <v>40651433</v>
          </cell>
          <cell r="B1128">
            <v>2</v>
          </cell>
          <cell r="D1128" t="str">
            <v>72389398</v>
          </cell>
          <cell r="E1128">
            <v>5</v>
          </cell>
        </row>
        <row r="1129">
          <cell r="A1129" t="str">
            <v>40653985</v>
          </cell>
          <cell r="B1129">
            <v>3</v>
          </cell>
          <cell r="D1129" t="str">
            <v>72393617</v>
          </cell>
          <cell r="E1129">
            <v>2</v>
          </cell>
        </row>
        <row r="1130">
          <cell r="A1130" t="str">
            <v>40656075</v>
          </cell>
          <cell r="B1130">
            <v>23</v>
          </cell>
          <cell r="D1130" t="str">
            <v>72405164</v>
          </cell>
          <cell r="E1130">
            <v>1</v>
          </cell>
        </row>
        <row r="1131">
          <cell r="A1131" t="str">
            <v>40658881</v>
          </cell>
          <cell r="B1131">
            <v>2</v>
          </cell>
          <cell r="D1131" t="str">
            <v>72509357</v>
          </cell>
          <cell r="E1131">
            <v>1</v>
          </cell>
        </row>
        <row r="1132">
          <cell r="A1132" t="str">
            <v>40659760</v>
          </cell>
          <cell r="B1132">
            <v>42</v>
          </cell>
          <cell r="D1132" t="str">
            <v>72577018</v>
          </cell>
          <cell r="E1132">
            <v>2</v>
          </cell>
        </row>
        <row r="1133">
          <cell r="A1133" t="str">
            <v>40660973</v>
          </cell>
          <cell r="B1133">
            <v>6</v>
          </cell>
          <cell r="D1133" t="str">
            <v>72650487</v>
          </cell>
          <cell r="E1133">
            <v>2</v>
          </cell>
        </row>
        <row r="1134">
          <cell r="A1134" t="str">
            <v>40661233</v>
          </cell>
          <cell r="B1134">
            <v>3</v>
          </cell>
          <cell r="D1134" t="str">
            <v>72662247</v>
          </cell>
          <cell r="E1134">
            <v>1</v>
          </cell>
        </row>
        <row r="1135">
          <cell r="A1135" t="str">
            <v>40661922</v>
          </cell>
          <cell r="B1135">
            <v>5</v>
          </cell>
          <cell r="D1135" t="str">
            <v>72908243</v>
          </cell>
          <cell r="E1135">
            <v>1</v>
          </cell>
        </row>
        <row r="1136">
          <cell r="A1136" t="str">
            <v>40674240</v>
          </cell>
          <cell r="B1136">
            <v>16</v>
          </cell>
          <cell r="D1136" t="str">
            <v>72914832</v>
          </cell>
          <cell r="E1136">
            <v>9</v>
          </cell>
        </row>
        <row r="1137">
          <cell r="A1137" t="str">
            <v>40687294</v>
          </cell>
          <cell r="B1137">
            <v>25</v>
          </cell>
          <cell r="D1137" t="str">
            <v>72934804</v>
          </cell>
          <cell r="E1137">
            <v>2</v>
          </cell>
        </row>
        <row r="1138">
          <cell r="A1138" t="str">
            <v>40688200</v>
          </cell>
          <cell r="B1138">
            <v>20</v>
          </cell>
          <cell r="D1138" t="str">
            <v>72936168</v>
          </cell>
          <cell r="E1138">
            <v>15</v>
          </cell>
        </row>
        <row r="1139">
          <cell r="A1139" t="str">
            <v>40694859</v>
          </cell>
          <cell r="B1139">
            <v>3</v>
          </cell>
          <cell r="D1139" t="str">
            <v>72940920</v>
          </cell>
          <cell r="E1139">
            <v>1</v>
          </cell>
        </row>
        <row r="1140">
          <cell r="A1140" t="str">
            <v>40695389</v>
          </cell>
          <cell r="B1140">
            <v>6</v>
          </cell>
          <cell r="D1140" t="str">
            <v>72965805</v>
          </cell>
          <cell r="E1140">
            <v>1</v>
          </cell>
        </row>
        <row r="1141">
          <cell r="A1141" t="str">
            <v>40697657</v>
          </cell>
          <cell r="B1141">
            <v>59</v>
          </cell>
          <cell r="D1141" t="str">
            <v>73010795</v>
          </cell>
          <cell r="E1141">
            <v>5</v>
          </cell>
        </row>
        <row r="1142">
          <cell r="A1142" t="str">
            <v>40699744</v>
          </cell>
          <cell r="B1142">
            <v>11</v>
          </cell>
          <cell r="D1142" t="str">
            <v>73079318</v>
          </cell>
          <cell r="E1142">
            <v>4</v>
          </cell>
        </row>
        <row r="1143">
          <cell r="A1143" t="str">
            <v>40701854</v>
          </cell>
          <cell r="B1143">
            <v>1</v>
          </cell>
          <cell r="D1143" t="str">
            <v>73091233</v>
          </cell>
          <cell r="E1143">
            <v>1</v>
          </cell>
        </row>
        <row r="1144">
          <cell r="A1144" t="str">
            <v>40703164</v>
          </cell>
          <cell r="B1144">
            <v>2</v>
          </cell>
          <cell r="D1144" t="str">
            <v>73126187</v>
          </cell>
          <cell r="E1144">
            <v>1</v>
          </cell>
        </row>
        <row r="1145">
          <cell r="A1145" t="str">
            <v>40707914</v>
          </cell>
          <cell r="B1145">
            <v>3</v>
          </cell>
          <cell r="D1145" t="str">
            <v>73224934</v>
          </cell>
          <cell r="E1145">
            <v>20</v>
          </cell>
        </row>
        <row r="1146">
          <cell r="A1146" t="str">
            <v>40713431</v>
          </cell>
          <cell r="B1146">
            <v>13</v>
          </cell>
          <cell r="D1146" t="str">
            <v>73258526</v>
          </cell>
          <cell r="E1146">
            <v>2</v>
          </cell>
        </row>
        <row r="1147">
          <cell r="A1147" t="str">
            <v>40716033</v>
          </cell>
          <cell r="B1147">
            <v>51</v>
          </cell>
          <cell r="D1147" t="str">
            <v>73275313</v>
          </cell>
          <cell r="E1147">
            <v>1</v>
          </cell>
        </row>
        <row r="1148">
          <cell r="A1148" t="str">
            <v>40718272</v>
          </cell>
          <cell r="B1148">
            <v>10</v>
          </cell>
          <cell r="D1148" t="str">
            <v>73301157</v>
          </cell>
          <cell r="E1148">
            <v>4</v>
          </cell>
        </row>
        <row r="1149">
          <cell r="A1149" t="str">
            <v>40725892</v>
          </cell>
          <cell r="B1149">
            <v>3</v>
          </cell>
          <cell r="D1149" t="str">
            <v>73309814</v>
          </cell>
          <cell r="E1149">
            <v>2</v>
          </cell>
        </row>
        <row r="1150">
          <cell r="A1150" t="str">
            <v>40728228</v>
          </cell>
          <cell r="B1150">
            <v>16</v>
          </cell>
          <cell r="D1150" t="str">
            <v>73324687</v>
          </cell>
          <cell r="E1150">
            <v>1</v>
          </cell>
        </row>
        <row r="1151">
          <cell r="A1151" t="str">
            <v>40732735</v>
          </cell>
          <cell r="B1151">
            <v>19</v>
          </cell>
          <cell r="D1151" t="str">
            <v>73330906</v>
          </cell>
          <cell r="E1151">
            <v>3</v>
          </cell>
        </row>
        <row r="1152">
          <cell r="A1152" t="str">
            <v>40733135</v>
          </cell>
          <cell r="B1152">
            <v>10</v>
          </cell>
          <cell r="D1152" t="str">
            <v>73333940</v>
          </cell>
          <cell r="E1152">
            <v>1</v>
          </cell>
        </row>
        <row r="1153">
          <cell r="A1153" t="str">
            <v>40735335</v>
          </cell>
          <cell r="B1153">
            <v>6</v>
          </cell>
          <cell r="D1153" t="str">
            <v>73352119</v>
          </cell>
          <cell r="E1153">
            <v>1</v>
          </cell>
        </row>
        <row r="1154">
          <cell r="A1154" t="str">
            <v>40748279</v>
          </cell>
          <cell r="B1154">
            <v>7</v>
          </cell>
          <cell r="D1154" t="str">
            <v>73360211</v>
          </cell>
          <cell r="E1154">
            <v>4</v>
          </cell>
        </row>
        <row r="1155">
          <cell r="A1155" t="str">
            <v>40751488</v>
          </cell>
          <cell r="B1155">
            <v>190</v>
          </cell>
          <cell r="D1155" t="str">
            <v>73366498</v>
          </cell>
          <cell r="E1155">
            <v>2</v>
          </cell>
        </row>
        <row r="1156">
          <cell r="A1156" t="str">
            <v>40768166</v>
          </cell>
          <cell r="B1156">
            <v>3</v>
          </cell>
          <cell r="D1156" t="str">
            <v>73383205</v>
          </cell>
          <cell r="E1156">
            <v>1</v>
          </cell>
        </row>
        <row r="1157">
          <cell r="A1157" t="str">
            <v>40772573</v>
          </cell>
          <cell r="B1157">
            <v>19</v>
          </cell>
          <cell r="D1157" t="str">
            <v>73385829</v>
          </cell>
          <cell r="E1157">
            <v>1</v>
          </cell>
        </row>
        <row r="1158">
          <cell r="A1158" t="str">
            <v>40773121</v>
          </cell>
          <cell r="B1158">
            <v>22</v>
          </cell>
          <cell r="D1158" t="str">
            <v>73443559</v>
          </cell>
          <cell r="E1158">
            <v>8</v>
          </cell>
        </row>
        <row r="1159">
          <cell r="A1159" t="str">
            <v>40774187</v>
          </cell>
          <cell r="B1159">
            <v>10</v>
          </cell>
          <cell r="D1159" t="str">
            <v>73475588</v>
          </cell>
          <cell r="E1159">
            <v>4</v>
          </cell>
        </row>
        <row r="1160">
          <cell r="A1160" t="str">
            <v>40774381</v>
          </cell>
          <cell r="B1160">
            <v>4</v>
          </cell>
          <cell r="D1160" t="str">
            <v>73519552</v>
          </cell>
          <cell r="E1160">
            <v>1</v>
          </cell>
        </row>
        <row r="1161">
          <cell r="A1161" t="str">
            <v>40777773</v>
          </cell>
          <cell r="B1161">
            <v>10</v>
          </cell>
          <cell r="D1161" t="str">
            <v>73528613</v>
          </cell>
          <cell r="E1161">
            <v>2</v>
          </cell>
        </row>
        <row r="1162">
          <cell r="A1162" t="str">
            <v>40782449</v>
          </cell>
          <cell r="B1162">
            <v>24</v>
          </cell>
          <cell r="D1162" t="str">
            <v>73533059</v>
          </cell>
          <cell r="E1162">
            <v>1</v>
          </cell>
        </row>
        <row r="1163">
          <cell r="A1163" t="str">
            <v>40782695</v>
          </cell>
          <cell r="B1163">
            <v>16</v>
          </cell>
          <cell r="D1163" t="str">
            <v>73533877</v>
          </cell>
          <cell r="E1163">
            <v>37</v>
          </cell>
        </row>
        <row r="1164">
          <cell r="A1164" t="str">
            <v>40783572</v>
          </cell>
          <cell r="B1164">
            <v>2</v>
          </cell>
          <cell r="D1164" t="str">
            <v>73568805</v>
          </cell>
          <cell r="E1164">
            <v>5</v>
          </cell>
        </row>
        <row r="1165">
          <cell r="A1165" t="str">
            <v>40784157</v>
          </cell>
          <cell r="B1165">
            <v>1</v>
          </cell>
          <cell r="D1165" t="str">
            <v>73575915</v>
          </cell>
          <cell r="E1165">
            <v>1</v>
          </cell>
        </row>
        <row r="1166">
          <cell r="A1166" t="str">
            <v>40784735</v>
          </cell>
          <cell r="B1166">
            <v>2</v>
          </cell>
          <cell r="D1166" t="str">
            <v>73576702</v>
          </cell>
          <cell r="E1166">
            <v>3</v>
          </cell>
        </row>
        <row r="1167">
          <cell r="A1167" t="str">
            <v>40790601</v>
          </cell>
          <cell r="B1167">
            <v>21</v>
          </cell>
          <cell r="D1167" t="str">
            <v>73601476</v>
          </cell>
          <cell r="E1167">
            <v>1</v>
          </cell>
        </row>
        <row r="1168">
          <cell r="A1168" t="str">
            <v>40794550</v>
          </cell>
          <cell r="B1168">
            <v>10</v>
          </cell>
          <cell r="D1168" t="str">
            <v>73610960</v>
          </cell>
          <cell r="E1168">
            <v>2</v>
          </cell>
        </row>
        <row r="1169">
          <cell r="A1169" t="str">
            <v>40804470</v>
          </cell>
          <cell r="B1169">
            <v>13</v>
          </cell>
          <cell r="D1169" t="str">
            <v>73643687</v>
          </cell>
          <cell r="E1169">
            <v>1</v>
          </cell>
        </row>
        <row r="1170">
          <cell r="A1170" t="str">
            <v>40821366</v>
          </cell>
          <cell r="B1170">
            <v>4</v>
          </cell>
          <cell r="D1170" t="str">
            <v>73744450</v>
          </cell>
          <cell r="E1170">
            <v>1</v>
          </cell>
        </row>
        <row r="1171">
          <cell r="A1171" t="str">
            <v>40826583</v>
          </cell>
          <cell r="B1171">
            <v>30</v>
          </cell>
          <cell r="D1171" t="str">
            <v>73744847</v>
          </cell>
          <cell r="E1171">
            <v>1</v>
          </cell>
        </row>
        <row r="1172">
          <cell r="A1172" t="str">
            <v>40827532</v>
          </cell>
          <cell r="B1172">
            <v>64</v>
          </cell>
          <cell r="D1172" t="str">
            <v>73746015</v>
          </cell>
          <cell r="E1172">
            <v>1</v>
          </cell>
        </row>
        <row r="1173">
          <cell r="A1173" t="str">
            <v>40831349</v>
          </cell>
          <cell r="B1173">
            <v>4</v>
          </cell>
          <cell r="D1173" t="str">
            <v>73751977</v>
          </cell>
          <cell r="E1173">
            <v>2</v>
          </cell>
        </row>
        <row r="1174">
          <cell r="A1174" t="str">
            <v>40839274</v>
          </cell>
          <cell r="B1174">
            <v>1</v>
          </cell>
          <cell r="D1174" t="str">
            <v>73824181</v>
          </cell>
          <cell r="E1174">
            <v>7</v>
          </cell>
        </row>
        <row r="1175">
          <cell r="A1175" t="str">
            <v>40839333</v>
          </cell>
          <cell r="B1175">
            <v>9</v>
          </cell>
          <cell r="D1175" t="str">
            <v>73872676</v>
          </cell>
          <cell r="E1175">
            <v>1</v>
          </cell>
        </row>
        <row r="1176">
          <cell r="A1176" t="str">
            <v>40848358</v>
          </cell>
          <cell r="B1176">
            <v>3</v>
          </cell>
          <cell r="D1176" t="str">
            <v>73874258</v>
          </cell>
          <cell r="E1176">
            <v>1</v>
          </cell>
        </row>
        <row r="1177">
          <cell r="A1177" t="str">
            <v>40850585</v>
          </cell>
          <cell r="B1177">
            <v>12</v>
          </cell>
          <cell r="D1177" t="str">
            <v>73879266</v>
          </cell>
          <cell r="E1177">
            <v>2</v>
          </cell>
        </row>
        <row r="1178">
          <cell r="A1178" t="str">
            <v>40853041</v>
          </cell>
          <cell r="B1178">
            <v>2</v>
          </cell>
          <cell r="D1178" t="str">
            <v>73886061</v>
          </cell>
          <cell r="E1178">
            <v>6</v>
          </cell>
        </row>
        <row r="1179">
          <cell r="A1179" t="str">
            <v>40854375</v>
          </cell>
          <cell r="B1179">
            <v>3</v>
          </cell>
          <cell r="D1179" t="str">
            <v>73905223</v>
          </cell>
          <cell r="E1179">
            <v>1</v>
          </cell>
        </row>
        <row r="1180">
          <cell r="A1180" t="str">
            <v>40856671</v>
          </cell>
          <cell r="B1180">
            <v>3</v>
          </cell>
          <cell r="D1180" t="str">
            <v>73926518</v>
          </cell>
          <cell r="E1180">
            <v>1</v>
          </cell>
        </row>
        <row r="1181">
          <cell r="A1181" t="str">
            <v>40868903</v>
          </cell>
          <cell r="B1181">
            <v>5</v>
          </cell>
          <cell r="D1181" t="str">
            <v>73956046</v>
          </cell>
          <cell r="E1181">
            <v>1</v>
          </cell>
        </row>
        <row r="1182">
          <cell r="A1182" t="str">
            <v>40877008</v>
          </cell>
          <cell r="B1182">
            <v>5</v>
          </cell>
          <cell r="D1182" t="str">
            <v>73984259</v>
          </cell>
          <cell r="E1182">
            <v>2</v>
          </cell>
        </row>
        <row r="1183">
          <cell r="A1183" t="str">
            <v>40877927</v>
          </cell>
          <cell r="B1183">
            <v>1</v>
          </cell>
          <cell r="D1183" t="str">
            <v>74081592</v>
          </cell>
          <cell r="E1183">
            <v>1</v>
          </cell>
        </row>
        <row r="1184">
          <cell r="A1184" t="str">
            <v>40882528</v>
          </cell>
          <cell r="B1184">
            <v>46</v>
          </cell>
          <cell r="D1184" t="str">
            <v>74107081</v>
          </cell>
          <cell r="E1184">
            <v>1</v>
          </cell>
        </row>
        <row r="1185">
          <cell r="A1185" t="str">
            <v>40882812</v>
          </cell>
          <cell r="B1185">
            <v>1</v>
          </cell>
          <cell r="D1185" t="str">
            <v>74131564</v>
          </cell>
          <cell r="E1185">
            <v>3</v>
          </cell>
        </row>
        <row r="1186">
          <cell r="A1186" t="str">
            <v>40886454</v>
          </cell>
          <cell r="B1186">
            <v>14</v>
          </cell>
          <cell r="D1186" t="str">
            <v>74138729</v>
          </cell>
          <cell r="E1186">
            <v>1</v>
          </cell>
        </row>
        <row r="1187">
          <cell r="A1187" t="str">
            <v>40886671</v>
          </cell>
          <cell r="B1187">
            <v>1</v>
          </cell>
          <cell r="D1187" t="str">
            <v>74157674</v>
          </cell>
          <cell r="E1187">
            <v>5</v>
          </cell>
        </row>
        <row r="1188">
          <cell r="A1188" t="str">
            <v>40888083</v>
          </cell>
          <cell r="B1188">
            <v>8</v>
          </cell>
          <cell r="D1188" t="str">
            <v>74162021</v>
          </cell>
          <cell r="E1188">
            <v>1</v>
          </cell>
        </row>
        <row r="1189">
          <cell r="A1189" t="str">
            <v>40892401</v>
          </cell>
          <cell r="B1189">
            <v>17</v>
          </cell>
          <cell r="D1189" t="str">
            <v>74162022</v>
          </cell>
          <cell r="E1189">
            <v>1</v>
          </cell>
        </row>
        <row r="1190">
          <cell r="A1190" t="str">
            <v>40896084</v>
          </cell>
          <cell r="B1190">
            <v>5</v>
          </cell>
          <cell r="D1190" t="str">
            <v>74168989</v>
          </cell>
          <cell r="E1190">
            <v>1</v>
          </cell>
        </row>
        <row r="1191">
          <cell r="A1191" t="str">
            <v>40896674</v>
          </cell>
          <cell r="B1191">
            <v>10</v>
          </cell>
          <cell r="D1191" t="str">
            <v>74279734</v>
          </cell>
          <cell r="E1191">
            <v>1</v>
          </cell>
        </row>
        <row r="1192">
          <cell r="A1192" t="str">
            <v>40901026</v>
          </cell>
          <cell r="B1192">
            <v>8</v>
          </cell>
          <cell r="D1192" t="str">
            <v>74283467</v>
          </cell>
          <cell r="E1192">
            <v>2</v>
          </cell>
        </row>
        <row r="1193">
          <cell r="A1193" t="str">
            <v>40901888</v>
          </cell>
          <cell r="B1193">
            <v>2</v>
          </cell>
          <cell r="D1193" t="str">
            <v>74305490</v>
          </cell>
          <cell r="E1193">
            <v>1</v>
          </cell>
        </row>
        <row r="1194">
          <cell r="A1194" t="str">
            <v>40901931</v>
          </cell>
          <cell r="B1194">
            <v>1</v>
          </cell>
          <cell r="D1194" t="str">
            <v>74318140</v>
          </cell>
          <cell r="E1194">
            <v>1</v>
          </cell>
        </row>
        <row r="1195">
          <cell r="A1195" t="str">
            <v>40902172</v>
          </cell>
          <cell r="B1195">
            <v>29</v>
          </cell>
          <cell r="D1195" t="str">
            <v>74363557</v>
          </cell>
          <cell r="E1195">
            <v>1</v>
          </cell>
        </row>
        <row r="1196">
          <cell r="A1196" t="str">
            <v>40903267</v>
          </cell>
          <cell r="B1196">
            <v>3</v>
          </cell>
          <cell r="D1196" t="str">
            <v>74380003</v>
          </cell>
          <cell r="E1196">
            <v>1</v>
          </cell>
        </row>
        <row r="1197">
          <cell r="A1197" t="str">
            <v>40904121</v>
          </cell>
          <cell r="B1197">
            <v>16</v>
          </cell>
          <cell r="D1197" t="str">
            <v>74396321</v>
          </cell>
          <cell r="E1197">
            <v>4</v>
          </cell>
        </row>
        <row r="1198">
          <cell r="A1198" t="str">
            <v>40908474</v>
          </cell>
          <cell r="B1198">
            <v>10</v>
          </cell>
          <cell r="D1198" t="str">
            <v>74401033</v>
          </cell>
          <cell r="E1198">
            <v>1</v>
          </cell>
        </row>
        <row r="1199">
          <cell r="A1199" t="str">
            <v>40909134</v>
          </cell>
          <cell r="B1199">
            <v>3</v>
          </cell>
          <cell r="D1199" t="str">
            <v>74402698</v>
          </cell>
          <cell r="E1199">
            <v>4</v>
          </cell>
        </row>
        <row r="1200">
          <cell r="A1200" t="str">
            <v>40909596</v>
          </cell>
          <cell r="B1200">
            <v>1</v>
          </cell>
          <cell r="D1200" t="str">
            <v>74453130</v>
          </cell>
          <cell r="E1200">
            <v>1</v>
          </cell>
        </row>
        <row r="1201">
          <cell r="A1201" t="str">
            <v>40910099</v>
          </cell>
          <cell r="B1201">
            <v>1</v>
          </cell>
          <cell r="D1201" t="str">
            <v>74467545</v>
          </cell>
          <cell r="E1201">
            <v>1</v>
          </cell>
        </row>
        <row r="1202">
          <cell r="A1202" t="str">
            <v>40917072</v>
          </cell>
          <cell r="B1202">
            <v>46</v>
          </cell>
          <cell r="D1202" t="str">
            <v>74550334</v>
          </cell>
          <cell r="E1202">
            <v>1</v>
          </cell>
        </row>
        <row r="1203">
          <cell r="A1203" t="str">
            <v>40917230</v>
          </cell>
          <cell r="B1203">
            <v>8</v>
          </cell>
          <cell r="D1203" t="str">
            <v>74555067</v>
          </cell>
          <cell r="E1203">
            <v>1</v>
          </cell>
        </row>
        <row r="1204">
          <cell r="A1204" t="str">
            <v>40917664</v>
          </cell>
          <cell r="B1204">
            <v>2</v>
          </cell>
          <cell r="D1204" t="str">
            <v>74581410</v>
          </cell>
          <cell r="E1204">
            <v>1</v>
          </cell>
        </row>
        <row r="1205">
          <cell r="A1205" t="str">
            <v>40920365</v>
          </cell>
          <cell r="B1205">
            <v>4</v>
          </cell>
          <cell r="D1205" t="str">
            <v>74585660</v>
          </cell>
          <cell r="E1205">
            <v>2</v>
          </cell>
        </row>
        <row r="1206">
          <cell r="A1206" t="str">
            <v>40921911</v>
          </cell>
          <cell r="B1206">
            <v>10</v>
          </cell>
          <cell r="D1206" t="str">
            <v>74699222</v>
          </cell>
          <cell r="E1206">
            <v>3</v>
          </cell>
        </row>
        <row r="1207">
          <cell r="A1207" t="str">
            <v>40924429</v>
          </cell>
          <cell r="B1207">
            <v>2</v>
          </cell>
          <cell r="D1207" t="str">
            <v>74705658</v>
          </cell>
          <cell r="E1207">
            <v>1</v>
          </cell>
        </row>
        <row r="1208">
          <cell r="A1208" t="str">
            <v>40927018</v>
          </cell>
          <cell r="B1208">
            <v>1</v>
          </cell>
          <cell r="D1208" t="str">
            <v>74736412</v>
          </cell>
          <cell r="E1208">
            <v>1</v>
          </cell>
        </row>
        <row r="1209">
          <cell r="A1209" t="str">
            <v>40927250</v>
          </cell>
          <cell r="B1209">
            <v>37</v>
          </cell>
          <cell r="D1209" t="str">
            <v>74773203</v>
          </cell>
          <cell r="E1209">
            <v>12</v>
          </cell>
        </row>
        <row r="1210">
          <cell r="A1210" t="str">
            <v>40931801</v>
          </cell>
          <cell r="B1210">
            <v>2</v>
          </cell>
          <cell r="D1210" t="str">
            <v>74870665</v>
          </cell>
          <cell r="E1210">
            <v>23</v>
          </cell>
        </row>
        <row r="1211">
          <cell r="A1211" t="str">
            <v>40933585</v>
          </cell>
          <cell r="B1211">
            <v>2</v>
          </cell>
          <cell r="D1211" t="str">
            <v>74949180</v>
          </cell>
          <cell r="E1211">
            <v>1</v>
          </cell>
        </row>
        <row r="1212">
          <cell r="A1212" t="str">
            <v>40934070</v>
          </cell>
          <cell r="B1212">
            <v>4</v>
          </cell>
          <cell r="D1212" t="str">
            <v>74956080</v>
          </cell>
          <cell r="E1212">
            <v>20</v>
          </cell>
        </row>
        <row r="1213">
          <cell r="A1213" t="str">
            <v>40948671</v>
          </cell>
          <cell r="B1213">
            <v>4</v>
          </cell>
          <cell r="D1213" t="str">
            <v>75002193</v>
          </cell>
          <cell r="E1213">
            <v>1</v>
          </cell>
        </row>
        <row r="1214">
          <cell r="A1214" t="str">
            <v>40950703</v>
          </cell>
          <cell r="B1214">
            <v>1</v>
          </cell>
          <cell r="D1214" t="str">
            <v>75052864</v>
          </cell>
          <cell r="E1214">
            <v>1</v>
          </cell>
        </row>
        <row r="1215">
          <cell r="A1215" t="str">
            <v>40954830</v>
          </cell>
          <cell r="B1215">
            <v>8</v>
          </cell>
          <cell r="D1215" t="str">
            <v>75065585</v>
          </cell>
          <cell r="E1215">
            <v>1</v>
          </cell>
        </row>
        <row r="1216">
          <cell r="A1216" t="str">
            <v>40956161</v>
          </cell>
          <cell r="B1216">
            <v>11</v>
          </cell>
          <cell r="D1216" t="str">
            <v>75092347</v>
          </cell>
          <cell r="E1216">
            <v>1</v>
          </cell>
        </row>
        <row r="1217">
          <cell r="A1217" t="str">
            <v>40960642</v>
          </cell>
          <cell r="B1217">
            <v>3</v>
          </cell>
          <cell r="D1217" t="str">
            <v>75164301</v>
          </cell>
          <cell r="E1217">
            <v>1</v>
          </cell>
        </row>
        <row r="1218">
          <cell r="A1218" t="str">
            <v>40965788</v>
          </cell>
          <cell r="B1218">
            <v>11</v>
          </cell>
          <cell r="D1218" t="str">
            <v>75169469</v>
          </cell>
          <cell r="E1218">
            <v>1</v>
          </cell>
        </row>
        <row r="1219">
          <cell r="A1219" t="str">
            <v>40970158</v>
          </cell>
          <cell r="B1219">
            <v>6</v>
          </cell>
          <cell r="D1219" t="str">
            <v>75169472</v>
          </cell>
          <cell r="E1219">
            <v>2</v>
          </cell>
        </row>
        <row r="1220">
          <cell r="A1220" t="str">
            <v>40972557</v>
          </cell>
          <cell r="B1220">
            <v>20</v>
          </cell>
          <cell r="D1220" t="str">
            <v>75178261</v>
          </cell>
          <cell r="E1220">
            <v>19</v>
          </cell>
        </row>
        <row r="1221">
          <cell r="A1221" t="str">
            <v>40976195</v>
          </cell>
          <cell r="B1221">
            <v>14</v>
          </cell>
          <cell r="D1221" t="str">
            <v>75188864</v>
          </cell>
          <cell r="E1221">
            <v>21</v>
          </cell>
        </row>
        <row r="1222">
          <cell r="A1222" t="str">
            <v>40978660</v>
          </cell>
          <cell r="B1222">
            <v>4</v>
          </cell>
          <cell r="D1222" t="str">
            <v>75199903</v>
          </cell>
          <cell r="E1222">
            <v>2</v>
          </cell>
        </row>
        <row r="1223">
          <cell r="A1223" t="str">
            <v>40978837</v>
          </cell>
          <cell r="B1223">
            <v>9</v>
          </cell>
          <cell r="D1223" t="str">
            <v>75201095</v>
          </cell>
          <cell r="E1223">
            <v>1</v>
          </cell>
        </row>
        <row r="1224">
          <cell r="A1224" t="str">
            <v>40981116</v>
          </cell>
          <cell r="B1224">
            <v>8</v>
          </cell>
          <cell r="D1224" t="str">
            <v>75214218</v>
          </cell>
          <cell r="E1224">
            <v>1</v>
          </cell>
        </row>
        <row r="1225">
          <cell r="A1225" t="str">
            <v>40984986</v>
          </cell>
          <cell r="B1225">
            <v>2</v>
          </cell>
          <cell r="D1225" t="str">
            <v>75234200</v>
          </cell>
          <cell r="E1225">
            <v>2</v>
          </cell>
        </row>
        <row r="1226">
          <cell r="A1226" t="str">
            <v>40988708</v>
          </cell>
          <cell r="B1226">
            <v>1</v>
          </cell>
          <cell r="D1226" t="str">
            <v>75284191</v>
          </cell>
          <cell r="E1226">
            <v>1</v>
          </cell>
        </row>
        <row r="1227">
          <cell r="A1227" t="str">
            <v>40990234</v>
          </cell>
          <cell r="B1227">
            <v>8</v>
          </cell>
          <cell r="D1227" t="str">
            <v>75349680</v>
          </cell>
          <cell r="E1227">
            <v>1</v>
          </cell>
        </row>
        <row r="1228">
          <cell r="A1228" t="str">
            <v>40992221</v>
          </cell>
          <cell r="B1228">
            <v>9</v>
          </cell>
          <cell r="D1228" t="str">
            <v>75388485</v>
          </cell>
          <cell r="E1228">
            <v>4</v>
          </cell>
        </row>
        <row r="1229">
          <cell r="A1229" t="str">
            <v>40992898</v>
          </cell>
          <cell r="B1229">
            <v>6</v>
          </cell>
          <cell r="D1229" t="str">
            <v>75420226</v>
          </cell>
          <cell r="E1229">
            <v>3</v>
          </cell>
        </row>
        <row r="1230">
          <cell r="A1230" t="str">
            <v>40996962</v>
          </cell>
          <cell r="B1230">
            <v>2</v>
          </cell>
          <cell r="D1230" t="str">
            <v>75441251</v>
          </cell>
          <cell r="E1230">
            <v>4</v>
          </cell>
        </row>
        <row r="1231">
          <cell r="A1231" t="str">
            <v>40998764</v>
          </cell>
          <cell r="B1231">
            <v>2</v>
          </cell>
          <cell r="D1231" t="str">
            <v>75469331</v>
          </cell>
          <cell r="E1231">
            <v>1</v>
          </cell>
        </row>
        <row r="1232">
          <cell r="A1232" t="str">
            <v>41001729</v>
          </cell>
          <cell r="B1232">
            <v>31</v>
          </cell>
          <cell r="D1232" t="str">
            <v>75500443</v>
          </cell>
          <cell r="E1232">
            <v>1</v>
          </cell>
        </row>
        <row r="1233">
          <cell r="A1233" t="str">
            <v>41003114</v>
          </cell>
          <cell r="B1233">
            <v>12</v>
          </cell>
          <cell r="D1233" t="str">
            <v>75559038</v>
          </cell>
          <cell r="E1233">
            <v>3</v>
          </cell>
        </row>
        <row r="1234">
          <cell r="A1234" t="str">
            <v>41006591</v>
          </cell>
          <cell r="B1234">
            <v>3</v>
          </cell>
          <cell r="D1234" t="str">
            <v>75629350</v>
          </cell>
          <cell r="E1234">
            <v>1</v>
          </cell>
        </row>
        <row r="1235">
          <cell r="A1235" t="str">
            <v>41007527</v>
          </cell>
          <cell r="B1235">
            <v>2</v>
          </cell>
          <cell r="D1235" t="str">
            <v>75689000</v>
          </cell>
          <cell r="E1235">
            <v>2</v>
          </cell>
        </row>
        <row r="1236">
          <cell r="A1236" t="str">
            <v>41007894</v>
          </cell>
          <cell r="B1236">
            <v>5</v>
          </cell>
          <cell r="D1236" t="str">
            <v>75718092</v>
          </cell>
          <cell r="E1236">
            <v>8</v>
          </cell>
        </row>
        <row r="1237">
          <cell r="A1237" t="str">
            <v>41008047</v>
          </cell>
          <cell r="B1237">
            <v>3</v>
          </cell>
          <cell r="D1237" t="str">
            <v>75731542</v>
          </cell>
          <cell r="E1237">
            <v>6</v>
          </cell>
        </row>
        <row r="1238">
          <cell r="A1238" t="str">
            <v>41020869</v>
          </cell>
          <cell r="B1238">
            <v>3</v>
          </cell>
          <cell r="D1238" t="str">
            <v>75767303</v>
          </cell>
          <cell r="E1238">
            <v>3</v>
          </cell>
        </row>
        <row r="1239">
          <cell r="A1239" t="str">
            <v>41021459</v>
          </cell>
          <cell r="B1239">
            <v>4</v>
          </cell>
          <cell r="D1239" t="str">
            <v>75771106</v>
          </cell>
          <cell r="E1239">
            <v>1</v>
          </cell>
        </row>
        <row r="1240">
          <cell r="A1240" t="str">
            <v>41022749</v>
          </cell>
          <cell r="B1240">
            <v>8</v>
          </cell>
          <cell r="D1240" t="str">
            <v>75788080</v>
          </cell>
          <cell r="E1240">
            <v>1</v>
          </cell>
        </row>
        <row r="1241">
          <cell r="A1241" t="str">
            <v>41029103</v>
          </cell>
          <cell r="B1241">
            <v>1</v>
          </cell>
          <cell r="D1241" t="str">
            <v>75800614</v>
          </cell>
          <cell r="E1241">
            <v>3</v>
          </cell>
        </row>
        <row r="1242">
          <cell r="A1242" t="str">
            <v>41031947</v>
          </cell>
          <cell r="B1242">
            <v>3</v>
          </cell>
          <cell r="D1242" t="str">
            <v>75818752</v>
          </cell>
          <cell r="E1242">
            <v>1</v>
          </cell>
        </row>
        <row r="1243">
          <cell r="A1243" t="str">
            <v>41038390</v>
          </cell>
          <cell r="B1243">
            <v>13</v>
          </cell>
          <cell r="D1243" t="str">
            <v>75850839</v>
          </cell>
          <cell r="E1243">
            <v>4</v>
          </cell>
        </row>
        <row r="1244">
          <cell r="A1244" t="str">
            <v>41041148</v>
          </cell>
          <cell r="B1244">
            <v>27</v>
          </cell>
          <cell r="D1244" t="str">
            <v>75887810</v>
          </cell>
          <cell r="E1244">
            <v>1</v>
          </cell>
        </row>
        <row r="1245">
          <cell r="A1245" t="str">
            <v>41041695</v>
          </cell>
          <cell r="B1245">
            <v>1</v>
          </cell>
          <cell r="D1245" t="str">
            <v>75898419</v>
          </cell>
          <cell r="E1245">
            <v>2</v>
          </cell>
        </row>
        <row r="1246">
          <cell r="A1246" t="str">
            <v>41043943</v>
          </cell>
          <cell r="B1246">
            <v>12</v>
          </cell>
          <cell r="D1246" t="str">
            <v>75936022</v>
          </cell>
          <cell r="E1246">
            <v>2</v>
          </cell>
        </row>
        <row r="1247">
          <cell r="A1247" t="str">
            <v>41044029</v>
          </cell>
          <cell r="B1247">
            <v>6</v>
          </cell>
          <cell r="D1247" t="str">
            <v>75968146</v>
          </cell>
          <cell r="E1247">
            <v>2</v>
          </cell>
        </row>
        <row r="1248">
          <cell r="A1248" t="str">
            <v>41049206</v>
          </cell>
          <cell r="B1248">
            <v>2</v>
          </cell>
          <cell r="D1248" t="str">
            <v>75972826</v>
          </cell>
          <cell r="E1248">
            <v>1</v>
          </cell>
        </row>
        <row r="1249">
          <cell r="A1249" t="str">
            <v>41050612</v>
          </cell>
          <cell r="B1249">
            <v>5</v>
          </cell>
          <cell r="D1249" t="str">
            <v>76009887</v>
          </cell>
          <cell r="E1249">
            <v>3</v>
          </cell>
        </row>
        <row r="1250">
          <cell r="A1250" t="str">
            <v>41053517</v>
          </cell>
          <cell r="B1250">
            <v>2</v>
          </cell>
          <cell r="D1250" t="str">
            <v>76015514</v>
          </cell>
          <cell r="E1250">
            <v>4</v>
          </cell>
        </row>
        <row r="1251">
          <cell r="A1251" t="str">
            <v>41056050</v>
          </cell>
          <cell r="B1251">
            <v>3</v>
          </cell>
          <cell r="D1251" t="str">
            <v>76017804</v>
          </cell>
          <cell r="E1251">
            <v>1</v>
          </cell>
        </row>
        <row r="1252">
          <cell r="A1252" t="str">
            <v>41061129</v>
          </cell>
          <cell r="B1252">
            <v>7</v>
          </cell>
          <cell r="D1252" t="str">
            <v>76069489</v>
          </cell>
          <cell r="E1252">
            <v>3</v>
          </cell>
        </row>
        <row r="1253">
          <cell r="A1253" t="str">
            <v>41061886</v>
          </cell>
          <cell r="B1253">
            <v>2</v>
          </cell>
          <cell r="D1253" t="str">
            <v>76075155</v>
          </cell>
          <cell r="E1253">
            <v>1</v>
          </cell>
        </row>
        <row r="1254">
          <cell r="A1254" t="str">
            <v>41066536</v>
          </cell>
          <cell r="B1254">
            <v>9</v>
          </cell>
          <cell r="D1254" t="str">
            <v>76091969</v>
          </cell>
          <cell r="E1254">
            <v>1</v>
          </cell>
        </row>
        <row r="1255">
          <cell r="A1255" t="str">
            <v>41067013</v>
          </cell>
          <cell r="B1255">
            <v>1</v>
          </cell>
          <cell r="D1255" t="str">
            <v>76147401</v>
          </cell>
          <cell r="E1255">
            <v>1</v>
          </cell>
        </row>
        <row r="1256">
          <cell r="A1256" t="str">
            <v>41068970</v>
          </cell>
          <cell r="B1256">
            <v>6</v>
          </cell>
          <cell r="D1256" t="str">
            <v>76150222</v>
          </cell>
          <cell r="E1256">
            <v>1</v>
          </cell>
        </row>
        <row r="1257">
          <cell r="A1257" t="str">
            <v>41073966</v>
          </cell>
          <cell r="B1257">
            <v>4</v>
          </cell>
          <cell r="D1257" t="str">
            <v>76214487</v>
          </cell>
          <cell r="E1257">
            <v>1</v>
          </cell>
        </row>
        <row r="1258">
          <cell r="A1258" t="str">
            <v>41074212</v>
          </cell>
          <cell r="B1258">
            <v>14</v>
          </cell>
          <cell r="D1258" t="str">
            <v>76217247</v>
          </cell>
          <cell r="E1258">
            <v>1</v>
          </cell>
        </row>
        <row r="1259">
          <cell r="A1259" t="str">
            <v>41075598</v>
          </cell>
          <cell r="B1259">
            <v>4</v>
          </cell>
          <cell r="D1259" t="str">
            <v>76235942</v>
          </cell>
          <cell r="E1259">
            <v>3</v>
          </cell>
        </row>
        <row r="1260">
          <cell r="A1260" t="str">
            <v>41084512</v>
          </cell>
          <cell r="B1260">
            <v>7</v>
          </cell>
          <cell r="D1260" t="str">
            <v>76237895</v>
          </cell>
          <cell r="E1260">
            <v>2</v>
          </cell>
        </row>
        <row r="1261">
          <cell r="A1261" t="str">
            <v>41084541</v>
          </cell>
          <cell r="B1261">
            <v>1</v>
          </cell>
          <cell r="D1261" t="str">
            <v>76249875</v>
          </cell>
          <cell r="E1261">
            <v>12</v>
          </cell>
        </row>
        <row r="1262">
          <cell r="A1262" t="str">
            <v>41086110</v>
          </cell>
          <cell r="B1262">
            <v>8</v>
          </cell>
          <cell r="D1262" t="str">
            <v>76251754</v>
          </cell>
          <cell r="E1262">
            <v>6</v>
          </cell>
        </row>
        <row r="1263">
          <cell r="A1263" t="str">
            <v>41086524</v>
          </cell>
          <cell r="B1263">
            <v>5</v>
          </cell>
          <cell r="D1263" t="str">
            <v>76252337</v>
          </cell>
          <cell r="E1263">
            <v>1</v>
          </cell>
        </row>
        <row r="1264">
          <cell r="A1264" t="str">
            <v>41088258</v>
          </cell>
          <cell r="B1264">
            <v>17</v>
          </cell>
          <cell r="D1264" t="str">
            <v>76291223</v>
          </cell>
          <cell r="E1264">
            <v>6</v>
          </cell>
        </row>
        <row r="1265">
          <cell r="A1265" t="str">
            <v>41091184</v>
          </cell>
          <cell r="B1265">
            <v>1</v>
          </cell>
          <cell r="D1265" t="str">
            <v>76291262</v>
          </cell>
          <cell r="E1265">
            <v>1</v>
          </cell>
        </row>
        <row r="1266">
          <cell r="A1266" t="str">
            <v>41095327</v>
          </cell>
          <cell r="B1266">
            <v>10</v>
          </cell>
          <cell r="D1266" t="str">
            <v>76318521</v>
          </cell>
          <cell r="E1266">
            <v>11</v>
          </cell>
        </row>
        <row r="1267">
          <cell r="A1267" t="str">
            <v>41097173</v>
          </cell>
          <cell r="B1267">
            <v>17</v>
          </cell>
          <cell r="D1267" t="str">
            <v>76355051</v>
          </cell>
          <cell r="E1267">
            <v>2</v>
          </cell>
        </row>
        <row r="1268">
          <cell r="A1268" t="str">
            <v>41103330</v>
          </cell>
          <cell r="B1268">
            <v>17</v>
          </cell>
          <cell r="D1268" t="str">
            <v>76356340</v>
          </cell>
          <cell r="E1268">
            <v>1</v>
          </cell>
        </row>
        <row r="1269">
          <cell r="A1269" t="str">
            <v>41105893</v>
          </cell>
          <cell r="B1269">
            <v>14</v>
          </cell>
          <cell r="D1269" t="str">
            <v>76389511</v>
          </cell>
          <cell r="E1269">
            <v>1</v>
          </cell>
        </row>
        <row r="1270">
          <cell r="A1270" t="str">
            <v>41106509</v>
          </cell>
          <cell r="B1270">
            <v>4</v>
          </cell>
          <cell r="D1270" t="str">
            <v>76439914</v>
          </cell>
          <cell r="E1270">
            <v>1</v>
          </cell>
        </row>
        <row r="1271">
          <cell r="A1271" t="str">
            <v>41108709</v>
          </cell>
          <cell r="B1271">
            <v>4</v>
          </cell>
          <cell r="D1271" t="str">
            <v>76457029</v>
          </cell>
          <cell r="E1271">
            <v>1</v>
          </cell>
        </row>
        <row r="1272">
          <cell r="A1272" t="str">
            <v>41111095</v>
          </cell>
          <cell r="B1272">
            <v>14</v>
          </cell>
          <cell r="D1272" t="str">
            <v>76466272</v>
          </cell>
          <cell r="E1272">
            <v>1</v>
          </cell>
        </row>
        <row r="1273">
          <cell r="A1273" t="str">
            <v>41112427</v>
          </cell>
          <cell r="B1273">
            <v>5</v>
          </cell>
          <cell r="D1273" t="str">
            <v>76478108</v>
          </cell>
          <cell r="E1273">
            <v>1</v>
          </cell>
        </row>
        <row r="1274">
          <cell r="A1274" t="str">
            <v>41119735</v>
          </cell>
          <cell r="B1274">
            <v>25</v>
          </cell>
          <cell r="D1274" t="str">
            <v>76509500</v>
          </cell>
          <cell r="E1274">
            <v>19</v>
          </cell>
        </row>
        <row r="1275">
          <cell r="A1275" t="str">
            <v>41119884</v>
          </cell>
          <cell r="B1275">
            <v>2</v>
          </cell>
          <cell r="D1275" t="str">
            <v>76536610</v>
          </cell>
          <cell r="E1275">
            <v>1</v>
          </cell>
        </row>
        <row r="1276">
          <cell r="A1276" t="str">
            <v>41120620</v>
          </cell>
          <cell r="B1276">
            <v>7</v>
          </cell>
          <cell r="D1276" t="str">
            <v>76567921</v>
          </cell>
          <cell r="E1276">
            <v>2</v>
          </cell>
        </row>
        <row r="1277">
          <cell r="A1277" t="str">
            <v>41122483</v>
          </cell>
          <cell r="B1277">
            <v>5</v>
          </cell>
          <cell r="D1277" t="str">
            <v>76569088</v>
          </cell>
          <cell r="E1277">
            <v>3</v>
          </cell>
        </row>
        <row r="1278">
          <cell r="A1278" t="str">
            <v>41126428</v>
          </cell>
          <cell r="B1278">
            <v>4</v>
          </cell>
          <cell r="D1278" t="str">
            <v>76582039</v>
          </cell>
          <cell r="E1278">
            <v>3</v>
          </cell>
        </row>
        <row r="1279">
          <cell r="A1279" t="str">
            <v>41132905</v>
          </cell>
          <cell r="B1279">
            <v>28</v>
          </cell>
          <cell r="D1279" t="str">
            <v>76584311</v>
          </cell>
          <cell r="E1279">
            <v>1</v>
          </cell>
        </row>
        <row r="1280">
          <cell r="A1280" t="str">
            <v>41142036</v>
          </cell>
          <cell r="B1280">
            <v>4</v>
          </cell>
          <cell r="D1280" t="str">
            <v>76600330</v>
          </cell>
          <cell r="E1280">
            <v>1</v>
          </cell>
        </row>
        <row r="1281">
          <cell r="A1281" t="str">
            <v>41142182</v>
          </cell>
          <cell r="B1281">
            <v>1</v>
          </cell>
          <cell r="D1281" t="str">
            <v>76613047</v>
          </cell>
          <cell r="E1281">
            <v>2</v>
          </cell>
        </row>
        <row r="1282">
          <cell r="A1282" t="str">
            <v>41144354</v>
          </cell>
          <cell r="B1282">
            <v>15</v>
          </cell>
          <cell r="D1282" t="str">
            <v>76615584</v>
          </cell>
          <cell r="E1282">
            <v>4</v>
          </cell>
        </row>
        <row r="1283">
          <cell r="A1283" t="str">
            <v>41148204</v>
          </cell>
          <cell r="B1283">
            <v>10</v>
          </cell>
          <cell r="D1283" t="str">
            <v>76633910</v>
          </cell>
          <cell r="E1283">
            <v>1</v>
          </cell>
        </row>
        <row r="1284">
          <cell r="A1284" t="str">
            <v>41156759</v>
          </cell>
          <cell r="B1284">
            <v>8</v>
          </cell>
          <cell r="D1284" t="str">
            <v>76644434</v>
          </cell>
          <cell r="E1284">
            <v>1</v>
          </cell>
        </row>
        <row r="1285">
          <cell r="A1285" t="str">
            <v>41158805</v>
          </cell>
          <cell r="B1285">
            <v>3</v>
          </cell>
          <cell r="D1285" t="str">
            <v>76653988</v>
          </cell>
          <cell r="E1285">
            <v>1</v>
          </cell>
        </row>
        <row r="1286">
          <cell r="A1286" t="str">
            <v>41160694</v>
          </cell>
          <cell r="B1286">
            <v>7</v>
          </cell>
          <cell r="D1286" t="str">
            <v>76660540</v>
          </cell>
          <cell r="E1286">
            <v>4</v>
          </cell>
        </row>
        <row r="1287">
          <cell r="A1287" t="str">
            <v>41160884</v>
          </cell>
          <cell r="B1287">
            <v>6</v>
          </cell>
          <cell r="D1287" t="str">
            <v>76670885</v>
          </cell>
          <cell r="E1287">
            <v>2</v>
          </cell>
        </row>
        <row r="1288">
          <cell r="A1288" t="str">
            <v>41165078</v>
          </cell>
          <cell r="B1288">
            <v>2</v>
          </cell>
          <cell r="D1288" t="str">
            <v>76688515</v>
          </cell>
          <cell r="E1288">
            <v>3</v>
          </cell>
        </row>
        <row r="1289">
          <cell r="A1289" t="str">
            <v>41166566</v>
          </cell>
          <cell r="B1289">
            <v>3</v>
          </cell>
          <cell r="D1289" t="str">
            <v>76730037</v>
          </cell>
          <cell r="E1289">
            <v>1</v>
          </cell>
        </row>
        <row r="1290">
          <cell r="A1290" t="str">
            <v>41169937</v>
          </cell>
          <cell r="B1290">
            <v>19</v>
          </cell>
          <cell r="D1290" t="str">
            <v>76746405</v>
          </cell>
          <cell r="E1290">
            <v>1</v>
          </cell>
        </row>
        <row r="1291">
          <cell r="A1291" t="str">
            <v>41172038</v>
          </cell>
          <cell r="B1291">
            <v>2</v>
          </cell>
          <cell r="D1291" t="str">
            <v>76769818</v>
          </cell>
          <cell r="E1291">
            <v>10</v>
          </cell>
        </row>
        <row r="1292">
          <cell r="A1292" t="str">
            <v>41174330</v>
          </cell>
          <cell r="B1292">
            <v>1</v>
          </cell>
          <cell r="D1292" t="str">
            <v>76790232</v>
          </cell>
          <cell r="E1292">
            <v>1</v>
          </cell>
        </row>
        <row r="1293">
          <cell r="A1293" t="str">
            <v>41174361</v>
          </cell>
          <cell r="B1293">
            <v>5</v>
          </cell>
          <cell r="D1293" t="str">
            <v>76791476</v>
          </cell>
          <cell r="E1293">
            <v>2</v>
          </cell>
        </row>
        <row r="1294">
          <cell r="A1294" t="str">
            <v>41176497</v>
          </cell>
          <cell r="B1294">
            <v>10</v>
          </cell>
          <cell r="D1294" t="str">
            <v>76810071</v>
          </cell>
          <cell r="E1294">
            <v>1</v>
          </cell>
        </row>
        <row r="1295">
          <cell r="A1295" t="str">
            <v>41181401</v>
          </cell>
          <cell r="B1295">
            <v>5</v>
          </cell>
          <cell r="D1295" t="str">
            <v>76855414</v>
          </cell>
          <cell r="E1295">
            <v>1</v>
          </cell>
        </row>
        <row r="1296">
          <cell r="A1296" t="str">
            <v>41189513</v>
          </cell>
          <cell r="B1296">
            <v>2</v>
          </cell>
          <cell r="D1296" t="str">
            <v>76902842</v>
          </cell>
          <cell r="E1296">
            <v>2</v>
          </cell>
        </row>
        <row r="1297">
          <cell r="A1297" t="str">
            <v>41190222</v>
          </cell>
          <cell r="B1297">
            <v>118</v>
          </cell>
          <cell r="D1297" t="str">
            <v>76965456</v>
          </cell>
          <cell r="E1297">
            <v>5</v>
          </cell>
        </row>
        <row r="1298">
          <cell r="A1298" t="str">
            <v>41190425</v>
          </cell>
          <cell r="B1298">
            <v>1</v>
          </cell>
          <cell r="D1298" t="str">
            <v>76967546</v>
          </cell>
          <cell r="E1298">
            <v>1</v>
          </cell>
        </row>
        <row r="1299">
          <cell r="A1299" t="str">
            <v>41193744</v>
          </cell>
          <cell r="B1299">
            <v>6</v>
          </cell>
          <cell r="D1299" t="str">
            <v>76976562</v>
          </cell>
          <cell r="E1299">
            <v>2</v>
          </cell>
        </row>
        <row r="1300">
          <cell r="A1300" t="str">
            <v>41194793</v>
          </cell>
          <cell r="B1300">
            <v>11</v>
          </cell>
          <cell r="D1300" t="str">
            <v>76997680</v>
          </cell>
          <cell r="E1300">
            <v>1</v>
          </cell>
        </row>
        <row r="1301">
          <cell r="A1301" t="str">
            <v>41198990</v>
          </cell>
          <cell r="B1301">
            <v>3</v>
          </cell>
          <cell r="D1301" t="str">
            <v>77068372</v>
          </cell>
          <cell r="E1301">
            <v>1</v>
          </cell>
        </row>
        <row r="1302">
          <cell r="A1302" t="str">
            <v>41201902</v>
          </cell>
          <cell r="B1302">
            <v>1</v>
          </cell>
          <cell r="D1302" t="str">
            <v>77080405</v>
          </cell>
          <cell r="E1302">
            <v>27</v>
          </cell>
        </row>
        <row r="1303">
          <cell r="A1303" t="str">
            <v>41210487</v>
          </cell>
          <cell r="B1303">
            <v>8</v>
          </cell>
          <cell r="D1303" t="str">
            <v>77163221</v>
          </cell>
          <cell r="E1303">
            <v>21</v>
          </cell>
        </row>
        <row r="1304">
          <cell r="A1304" t="str">
            <v>41216119</v>
          </cell>
          <cell r="B1304">
            <v>1</v>
          </cell>
          <cell r="D1304" t="str">
            <v>77163407</v>
          </cell>
          <cell r="E1304">
            <v>1</v>
          </cell>
        </row>
        <row r="1305">
          <cell r="A1305" t="str">
            <v>41220451</v>
          </cell>
          <cell r="B1305">
            <v>77</v>
          </cell>
          <cell r="D1305" t="str">
            <v>77178676</v>
          </cell>
          <cell r="E1305">
            <v>1</v>
          </cell>
        </row>
        <row r="1306">
          <cell r="A1306" t="str">
            <v>41222525</v>
          </cell>
          <cell r="B1306">
            <v>9</v>
          </cell>
          <cell r="D1306" t="str">
            <v>77245013</v>
          </cell>
          <cell r="E1306">
            <v>11</v>
          </cell>
        </row>
        <row r="1307">
          <cell r="A1307" t="str">
            <v>41224519</v>
          </cell>
          <cell r="B1307">
            <v>25</v>
          </cell>
          <cell r="D1307" t="str">
            <v>77270717</v>
          </cell>
          <cell r="E1307">
            <v>1</v>
          </cell>
        </row>
        <row r="1308">
          <cell r="A1308" t="str">
            <v>41227133</v>
          </cell>
          <cell r="B1308">
            <v>3</v>
          </cell>
          <cell r="D1308" t="str">
            <v>77321758</v>
          </cell>
          <cell r="E1308">
            <v>2</v>
          </cell>
        </row>
        <row r="1309">
          <cell r="A1309" t="str">
            <v>41227357</v>
          </cell>
          <cell r="B1309">
            <v>7</v>
          </cell>
          <cell r="D1309" t="str">
            <v>77330960</v>
          </cell>
          <cell r="E1309">
            <v>1</v>
          </cell>
        </row>
        <row r="1310">
          <cell r="A1310" t="str">
            <v>41238526</v>
          </cell>
          <cell r="B1310">
            <v>20</v>
          </cell>
          <cell r="D1310" t="str">
            <v>77331673</v>
          </cell>
          <cell r="E1310">
            <v>29</v>
          </cell>
        </row>
        <row r="1311">
          <cell r="A1311" t="str">
            <v>41239568</v>
          </cell>
          <cell r="B1311">
            <v>11</v>
          </cell>
          <cell r="D1311" t="str">
            <v>77380818</v>
          </cell>
          <cell r="E1311">
            <v>1</v>
          </cell>
        </row>
        <row r="1312">
          <cell r="A1312" t="str">
            <v>41241661</v>
          </cell>
          <cell r="B1312">
            <v>20</v>
          </cell>
          <cell r="D1312" t="str">
            <v>77385394</v>
          </cell>
          <cell r="E1312">
            <v>3</v>
          </cell>
        </row>
        <row r="1313">
          <cell r="A1313" t="str">
            <v>41245435</v>
          </cell>
          <cell r="B1313">
            <v>3</v>
          </cell>
          <cell r="D1313" t="str">
            <v>77387964</v>
          </cell>
          <cell r="E1313">
            <v>1</v>
          </cell>
        </row>
        <row r="1314">
          <cell r="A1314" t="str">
            <v>41250604</v>
          </cell>
          <cell r="B1314">
            <v>7</v>
          </cell>
          <cell r="D1314" t="str">
            <v>77393016</v>
          </cell>
          <cell r="E1314">
            <v>1</v>
          </cell>
        </row>
        <row r="1315">
          <cell r="A1315" t="str">
            <v>41252451</v>
          </cell>
          <cell r="B1315">
            <v>41</v>
          </cell>
          <cell r="D1315" t="str">
            <v>77415869</v>
          </cell>
          <cell r="E1315">
            <v>1</v>
          </cell>
        </row>
        <row r="1316">
          <cell r="A1316" t="str">
            <v>41257747</v>
          </cell>
          <cell r="B1316">
            <v>2</v>
          </cell>
          <cell r="D1316" t="str">
            <v>77476466</v>
          </cell>
          <cell r="E1316">
            <v>4</v>
          </cell>
        </row>
        <row r="1317">
          <cell r="A1317" t="str">
            <v>41262006</v>
          </cell>
          <cell r="B1317">
            <v>7</v>
          </cell>
          <cell r="D1317" t="str">
            <v>77476851</v>
          </cell>
          <cell r="E1317">
            <v>2</v>
          </cell>
        </row>
        <row r="1318">
          <cell r="A1318" t="str">
            <v>41262518</v>
          </cell>
          <cell r="B1318">
            <v>7</v>
          </cell>
          <cell r="D1318" t="str">
            <v>77487032</v>
          </cell>
          <cell r="E1318">
            <v>1</v>
          </cell>
        </row>
        <row r="1319">
          <cell r="A1319" t="str">
            <v>41268588</v>
          </cell>
          <cell r="B1319">
            <v>8</v>
          </cell>
          <cell r="D1319" t="str">
            <v>77499321</v>
          </cell>
          <cell r="E1319">
            <v>2</v>
          </cell>
        </row>
        <row r="1320">
          <cell r="A1320" t="str">
            <v>41268755</v>
          </cell>
          <cell r="B1320">
            <v>10</v>
          </cell>
          <cell r="D1320" t="str">
            <v>77529639</v>
          </cell>
          <cell r="E1320">
            <v>1</v>
          </cell>
        </row>
        <row r="1321">
          <cell r="A1321" t="str">
            <v>41268760</v>
          </cell>
          <cell r="B1321">
            <v>16</v>
          </cell>
          <cell r="D1321" t="str">
            <v>77574362</v>
          </cell>
          <cell r="E1321">
            <v>1</v>
          </cell>
        </row>
        <row r="1322">
          <cell r="A1322" t="str">
            <v>41268870</v>
          </cell>
          <cell r="B1322">
            <v>4</v>
          </cell>
          <cell r="D1322" t="str">
            <v>77672696</v>
          </cell>
          <cell r="E1322">
            <v>1</v>
          </cell>
        </row>
        <row r="1323">
          <cell r="A1323" t="str">
            <v>41275680</v>
          </cell>
          <cell r="B1323">
            <v>5</v>
          </cell>
          <cell r="D1323" t="str">
            <v>77673518</v>
          </cell>
          <cell r="E1323">
            <v>1</v>
          </cell>
        </row>
        <row r="1324">
          <cell r="A1324" t="str">
            <v>41279311</v>
          </cell>
          <cell r="B1324">
            <v>7</v>
          </cell>
          <cell r="D1324" t="str">
            <v>77687962</v>
          </cell>
          <cell r="E1324">
            <v>1</v>
          </cell>
        </row>
        <row r="1325">
          <cell r="A1325" t="str">
            <v>41293717</v>
          </cell>
          <cell r="B1325">
            <v>8</v>
          </cell>
          <cell r="D1325" t="str">
            <v>77694767</v>
          </cell>
          <cell r="E1325">
            <v>37</v>
          </cell>
        </row>
        <row r="1326">
          <cell r="A1326" t="str">
            <v>41294917</v>
          </cell>
          <cell r="B1326">
            <v>5</v>
          </cell>
          <cell r="D1326" t="str">
            <v>77798215</v>
          </cell>
          <cell r="E1326">
            <v>29</v>
          </cell>
        </row>
        <row r="1327">
          <cell r="A1327" t="str">
            <v>41300980</v>
          </cell>
          <cell r="B1327">
            <v>1</v>
          </cell>
          <cell r="D1327" t="str">
            <v>77800769</v>
          </cell>
          <cell r="E1327">
            <v>1</v>
          </cell>
        </row>
        <row r="1328">
          <cell r="A1328" t="str">
            <v>41304070</v>
          </cell>
          <cell r="B1328">
            <v>10</v>
          </cell>
          <cell r="D1328" t="str">
            <v>77913487</v>
          </cell>
          <cell r="E1328">
            <v>1</v>
          </cell>
        </row>
        <row r="1329">
          <cell r="A1329" t="str">
            <v>41320824</v>
          </cell>
          <cell r="B1329">
            <v>4</v>
          </cell>
          <cell r="D1329" t="str">
            <v>78461471</v>
          </cell>
          <cell r="E1329">
            <v>1</v>
          </cell>
        </row>
        <row r="1330">
          <cell r="A1330" t="str">
            <v>41325933</v>
          </cell>
          <cell r="B1330">
            <v>1</v>
          </cell>
          <cell r="D1330" t="str">
            <v>78462532</v>
          </cell>
          <cell r="E1330">
            <v>1</v>
          </cell>
        </row>
        <row r="1331">
          <cell r="A1331" t="str">
            <v>41326215</v>
          </cell>
          <cell r="B1331">
            <v>25</v>
          </cell>
          <cell r="D1331" t="str">
            <v>79545127</v>
          </cell>
          <cell r="E1331">
            <v>8</v>
          </cell>
        </row>
        <row r="1332">
          <cell r="A1332" t="str">
            <v>41327926</v>
          </cell>
          <cell r="B1332">
            <v>2</v>
          </cell>
          <cell r="D1332" t="str">
            <v>80040827</v>
          </cell>
          <cell r="E1332">
            <v>1</v>
          </cell>
        </row>
        <row r="1333">
          <cell r="A1333" t="str">
            <v>41330520</v>
          </cell>
          <cell r="B1333">
            <v>4</v>
          </cell>
          <cell r="D1333" t="str">
            <v>80063345</v>
          </cell>
          <cell r="E1333">
            <v>3</v>
          </cell>
        </row>
        <row r="1334">
          <cell r="A1334" t="str">
            <v>41341350</v>
          </cell>
          <cell r="B1334">
            <v>7</v>
          </cell>
          <cell r="D1334" t="str">
            <v>80151955</v>
          </cell>
          <cell r="E1334">
            <v>1</v>
          </cell>
        </row>
        <row r="1335">
          <cell r="A1335" t="str">
            <v>41344246</v>
          </cell>
          <cell r="B1335">
            <v>2</v>
          </cell>
          <cell r="D1335" t="str">
            <v>80314386</v>
          </cell>
          <cell r="E1335">
            <v>3</v>
          </cell>
        </row>
        <row r="1336">
          <cell r="A1336" t="str">
            <v>41351006</v>
          </cell>
          <cell r="B1336">
            <v>12</v>
          </cell>
          <cell r="D1336" t="str">
            <v>80355802</v>
          </cell>
          <cell r="E1336">
            <v>1</v>
          </cell>
        </row>
        <row r="1337">
          <cell r="A1337" t="str">
            <v>41351071</v>
          </cell>
          <cell r="B1337">
            <v>13</v>
          </cell>
          <cell r="D1337" t="str">
            <v>80518868</v>
          </cell>
          <cell r="E1337">
            <v>1</v>
          </cell>
        </row>
        <row r="1338">
          <cell r="A1338" t="str">
            <v>41354352</v>
          </cell>
          <cell r="B1338">
            <v>4</v>
          </cell>
          <cell r="D1338" t="str">
            <v>80521787</v>
          </cell>
          <cell r="E1338">
            <v>1</v>
          </cell>
        </row>
        <row r="1339">
          <cell r="A1339" t="str">
            <v>41354608</v>
          </cell>
          <cell r="B1339">
            <v>7</v>
          </cell>
          <cell r="D1339" t="str">
            <v>80522933</v>
          </cell>
          <cell r="E1339">
            <v>2</v>
          </cell>
        </row>
        <row r="1340">
          <cell r="A1340" t="str">
            <v>41357210</v>
          </cell>
          <cell r="B1340">
            <v>2</v>
          </cell>
          <cell r="D1340" t="str">
            <v>80530525</v>
          </cell>
          <cell r="E1340">
            <v>1</v>
          </cell>
        </row>
        <row r="1341">
          <cell r="A1341" t="str">
            <v>41358069</v>
          </cell>
          <cell r="B1341">
            <v>4</v>
          </cell>
          <cell r="D1341" t="str">
            <v>80570415</v>
          </cell>
          <cell r="E1341">
            <v>18</v>
          </cell>
        </row>
        <row r="1342">
          <cell r="A1342" t="str">
            <v>41360217</v>
          </cell>
          <cell r="B1342">
            <v>2</v>
          </cell>
          <cell r="D1342" t="str">
            <v>80592236</v>
          </cell>
          <cell r="E1342">
            <v>1</v>
          </cell>
        </row>
        <row r="1343">
          <cell r="A1343" t="str">
            <v>41362435</v>
          </cell>
          <cell r="B1343">
            <v>41</v>
          </cell>
          <cell r="D1343" t="str">
            <v>80601081</v>
          </cell>
          <cell r="E1343">
            <v>1</v>
          </cell>
        </row>
        <row r="1344">
          <cell r="A1344" t="str">
            <v>41363451</v>
          </cell>
          <cell r="B1344">
            <v>12</v>
          </cell>
          <cell r="D1344" t="str">
            <v>80609965</v>
          </cell>
          <cell r="E1344">
            <v>4</v>
          </cell>
        </row>
        <row r="1345">
          <cell r="A1345" t="str">
            <v>41365328</v>
          </cell>
          <cell r="B1345">
            <v>2</v>
          </cell>
          <cell r="D1345" t="str">
            <v>80635911</v>
          </cell>
          <cell r="E1345">
            <v>3</v>
          </cell>
        </row>
        <row r="1346">
          <cell r="A1346" t="str">
            <v>41369180</v>
          </cell>
          <cell r="B1346">
            <v>40</v>
          </cell>
          <cell r="D1346" t="str">
            <v>80643093</v>
          </cell>
          <cell r="E1346">
            <v>1</v>
          </cell>
        </row>
        <row r="1347">
          <cell r="A1347" t="str">
            <v>41380333</v>
          </cell>
          <cell r="B1347">
            <v>4</v>
          </cell>
          <cell r="D1347" t="str">
            <v>80650522</v>
          </cell>
          <cell r="E1347">
            <v>1</v>
          </cell>
        </row>
        <row r="1348">
          <cell r="A1348" t="str">
            <v>41388436</v>
          </cell>
          <cell r="B1348">
            <v>1</v>
          </cell>
          <cell r="D1348" t="str">
            <v>80669349</v>
          </cell>
          <cell r="E1348">
            <v>23</v>
          </cell>
        </row>
        <row r="1349">
          <cell r="A1349" t="str">
            <v>41390347</v>
          </cell>
          <cell r="B1349">
            <v>2</v>
          </cell>
          <cell r="D1349" t="str">
            <v>80689394</v>
          </cell>
          <cell r="E1349">
            <v>2</v>
          </cell>
        </row>
        <row r="1350">
          <cell r="A1350" t="str">
            <v>41390412</v>
          </cell>
          <cell r="B1350">
            <v>9</v>
          </cell>
          <cell r="D1350" t="str">
            <v>81045864</v>
          </cell>
          <cell r="E1350">
            <v>2</v>
          </cell>
        </row>
        <row r="1351">
          <cell r="A1351" t="str">
            <v>41398329</v>
          </cell>
          <cell r="B1351">
            <v>4</v>
          </cell>
          <cell r="D1351" t="str">
            <v>81154167</v>
          </cell>
          <cell r="E1351">
            <v>1</v>
          </cell>
        </row>
        <row r="1352">
          <cell r="A1352" t="str">
            <v>41399153</v>
          </cell>
          <cell r="B1352">
            <v>2</v>
          </cell>
          <cell r="D1352" t="str">
            <v>90062639</v>
          </cell>
          <cell r="E1352">
            <v>6</v>
          </cell>
        </row>
        <row r="1353">
          <cell r="A1353" t="str">
            <v>41401143</v>
          </cell>
          <cell r="B1353">
            <v>2</v>
          </cell>
          <cell r="D1353" t="str">
            <v>Total general</v>
          </cell>
          <cell r="E1353">
            <v>4712</v>
          </cell>
        </row>
        <row r="1354">
          <cell r="A1354" t="str">
            <v>41401462</v>
          </cell>
          <cell r="B1354">
            <v>18</v>
          </cell>
        </row>
        <row r="1355">
          <cell r="A1355" t="str">
            <v>41401678</v>
          </cell>
          <cell r="B1355">
            <v>3</v>
          </cell>
        </row>
        <row r="1356">
          <cell r="A1356" t="str">
            <v>41402562</v>
          </cell>
          <cell r="B1356">
            <v>24</v>
          </cell>
        </row>
        <row r="1357">
          <cell r="A1357" t="str">
            <v>41403071</v>
          </cell>
          <cell r="B1357">
            <v>11</v>
          </cell>
        </row>
        <row r="1358">
          <cell r="A1358" t="str">
            <v>41404397</v>
          </cell>
          <cell r="B1358">
            <v>22</v>
          </cell>
        </row>
        <row r="1359">
          <cell r="A1359" t="str">
            <v>41409486</v>
          </cell>
          <cell r="B1359">
            <v>2</v>
          </cell>
        </row>
        <row r="1360">
          <cell r="A1360" t="str">
            <v>41412342</v>
          </cell>
          <cell r="B1360">
            <v>64</v>
          </cell>
        </row>
        <row r="1361">
          <cell r="A1361" t="str">
            <v>41414019</v>
          </cell>
          <cell r="B1361">
            <v>1</v>
          </cell>
        </row>
        <row r="1362">
          <cell r="A1362" t="str">
            <v>41418361</v>
          </cell>
          <cell r="B1362">
            <v>9</v>
          </cell>
        </row>
        <row r="1363">
          <cell r="A1363" t="str">
            <v>41429039</v>
          </cell>
          <cell r="B1363">
            <v>7</v>
          </cell>
        </row>
        <row r="1364">
          <cell r="A1364" t="str">
            <v>41433184</v>
          </cell>
          <cell r="B1364">
            <v>18</v>
          </cell>
        </row>
        <row r="1365">
          <cell r="A1365" t="str">
            <v>41455618</v>
          </cell>
          <cell r="B1365">
            <v>7</v>
          </cell>
        </row>
        <row r="1366">
          <cell r="A1366" t="str">
            <v>41456978</v>
          </cell>
          <cell r="B1366">
            <v>25</v>
          </cell>
        </row>
        <row r="1367">
          <cell r="A1367" t="str">
            <v>41461173</v>
          </cell>
          <cell r="B1367">
            <v>1</v>
          </cell>
        </row>
        <row r="1368">
          <cell r="A1368" t="str">
            <v>41468563</v>
          </cell>
          <cell r="B1368">
            <v>7</v>
          </cell>
        </row>
        <row r="1369">
          <cell r="A1369" t="str">
            <v>41472374</v>
          </cell>
          <cell r="B1369">
            <v>28</v>
          </cell>
        </row>
        <row r="1370">
          <cell r="A1370" t="str">
            <v>41473670</v>
          </cell>
          <cell r="B1370">
            <v>2</v>
          </cell>
        </row>
        <row r="1371">
          <cell r="A1371" t="str">
            <v>41478792</v>
          </cell>
          <cell r="B1371">
            <v>1</v>
          </cell>
        </row>
        <row r="1372">
          <cell r="A1372" t="str">
            <v>41479459</v>
          </cell>
          <cell r="B1372">
            <v>2</v>
          </cell>
        </row>
        <row r="1373">
          <cell r="A1373" t="str">
            <v>41483311</v>
          </cell>
          <cell r="B1373">
            <v>17</v>
          </cell>
        </row>
        <row r="1374">
          <cell r="A1374" t="str">
            <v>41498333</v>
          </cell>
          <cell r="B1374">
            <v>1</v>
          </cell>
        </row>
        <row r="1375">
          <cell r="A1375" t="str">
            <v>41501250</v>
          </cell>
          <cell r="B1375">
            <v>8</v>
          </cell>
        </row>
        <row r="1376">
          <cell r="A1376" t="str">
            <v>41503020</v>
          </cell>
          <cell r="B1376">
            <v>5</v>
          </cell>
        </row>
        <row r="1377">
          <cell r="A1377" t="str">
            <v>41503615</v>
          </cell>
          <cell r="B1377">
            <v>11</v>
          </cell>
        </row>
        <row r="1378">
          <cell r="A1378" t="str">
            <v>41509443</v>
          </cell>
          <cell r="B1378">
            <v>7</v>
          </cell>
        </row>
        <row r="1379">
          <cell r="A1379" t="str">
            <v>41510738</v>
          </cell>
          <cell r="B1379">
            <v>19</v>
          </cell>
        </row>
        <row r="1380">
          <cell r="A1380" t="str">
            <v>41513712</v>
          </cell>
          <cell r="B1380">
            <v>7</v>
          </cell>
        </row>
        <row r="1381">
          <cell r="A1381" t="str">
            <v>41518133</v>
          </cell>
          <cell r="B1381">
            <v>25</v>
          </cell>
        </row>
        <row r="1382">
          <cell r="A1382" t="str">
            <v>41530828</v>
          </cell>
          <cell r="B1382">
            <v>2</v>
          </cell>
        </row>
        <row r="1383">
          <cell r="A1383" t="str">
            <v>41530930</v>
          </cell>
          <cell r="B1383">
            <v>6</v>
          </cell>
        </row>
        <row r="1384">
          <cell r="A1384" t="str">
            <v>41538174</v>
          </cell>
          <cell r="B1384">
            <v>9</v>
          </cell>
        </row>
        <row r="1385">
          <cell r="A1385" t="str">
            <v>41540280</v>
          </cell>
          <cell r="B1385">
            <v>6</v>
          </cell>
        </row>
        <row r="1386">
          <cell r="A1386" t="str">
            <v>41542567</v>
          </cell>
          <cell r="B1386">
            <v>2</v>
          </cell>
        </row>
        <row r="1387">
          <cell r="A1387" t="str">
            <v>41544805</v>
          </cell>
          <cell r="B1387">
            <v>11</v>
          </cell>
        </row>
        <row r="1388">
          <cell r="A1388" t="str">
            <v>41545448</v>
          </cell>
          <cell r="B1388">
            <v>2</v>
          </cell>
        </row>
        <row r="1389">
          <cell r="A1389" t="str">
            <v>41548914</v>
          </cell>
          <cell r="B1389">
            <v>12</v>
          </cell>
        </row>
        <row r="1390">
          <cell r="A1390" t="str">
            <v>41549843</v>
          </cell>
          <cell r="B1390">
            <v>2</v>
          </cell>
        </row>
        <row r="1391">
          <cell r="A1391" t="str">
            <v>41554401</v>
          </cell>
          <cell r="B1391">
            <v>2</v>
          </cell>
        </row>
        <row r="1392">
          <cell r="A1392" t="str">
            <v>41555302</v>
          </cell>
          <cell r="B1392">
            <v>33</v>
          </cell>
        </row>
        <row r="1393">
          <cell r="A1393" t="str">
            <v>41556206</v>
          </cell>
          <cell r="B1393">
            <v>9</v>
          </cell>
        </row>
        <row r="1394">
          <cell r="A1394" t="str">
            <v>41561517</v>
          </cell>
          <cell r="B1394">
            <v>2</v>
          </cell>
        </row>
        <row r="1395">
          <cell r="A1395" t="str">
            <v>41565611</v>
          </cell>
          <cell r="B1395">
            <v>2</v>
          </cell>
        </row>
        <row r="1396">
          <cell r="A1396" t="str">
            <v>41566245</v>
          </cell>
          <cell r="B1396">
            <v>4</v>
          </cell>
        </row>
        <row r="1397">
          <cell r="A1397" t="str">
            <v>41566644</v>
          </cell>
          <cell r="B1397">
            <v>24</v>
          </cell>
        </row>
        <row r="1398">
          <cell r="A1398" t="str">
            <v>41567678</v>
          </cell>
          <cell r="B1398">
            <v>6</v>
          </cell>
        </row>
        <row r="1399">
          <cell r="A1399" t="str">
            <v>41570275</v>
          </cell>
          <cell r="B1399">
            <v>2</v>
          </cell>
        </row>
        <row r="1400">
          <cell r="A1400" t="str">
            <v>41570440</v>
          </cell>
          <cell r="B1400">
            <v>5</v>
          </cell>
        </row>
        <row r="1401">
          <cell r="A1401" t="str">
            <v>41576674</v>
          </cell>
          <cell r="B1401">
            <v>7</v>
          </cell>
        </row>
        <row r="1402">
          <cell r="A1402" t="str">
            <v>41577178</v>
          </cell>
          <cell r="B1402">
            <v>7</v>
          </cell>
        </row>
        <row r="1403">
          <cell r="A1403" t="str">
            <v>41577930</v>
          </cell>
          <cell r="B1403">
            <v>9</v>
          </cell>
        </row>
        <row r="1404">
          <cell r="A1404" t="str">
            <v>41581401</v>
          </cell>
          <cell r="B1404">
            <v>80</v>
          </cell>
        </row>
        <row r="1405">
          <cell r="A1405" t="str">
            <v>41584436</v>
          </cell>
          <cell r="B1405">
            <v>40</v>
          </cell>
        </row>
        <row r="1406">
          <cell r="A1406" t="str">
            <v>41584953</v>
          </cell>
          <cell r="B1406">
            <v>3</v>
          </cell>
        </row>
        <row r="1407">
          <cell r="A1407" t="str">
            <v>41585067</v>
          </cell>
          <cell r="B1407">
            <v>8</v>
          </cell>
        </row>
        <row r="1408">
          <cell r="A1408" t="str">
            <v>41585383</v>
          </cell>
          <cell r="B1408">
            <v>15</v>
          </cell>
        </row>
        <row r="1409">
          <cell r="A1409" t="str">
            <v>41586812</v>
          </cell>
          <cell r="B1409">
            <v>23</v>
          </cell>
        </row>
        <row r="1410">
          <cell r="A1410" t="str">
            <v>41603716</v>
          </cell>
          <cell r="B1410">
            <v>25</v>
          </cell>
        </row>
        <row r="1411">
          <cell r="A1411" t="str">
            <v>41606306</v>
          </cell>
          <cell r="B1411">
            <v>5</v>
          </cell>
        </row>
        <row r="1412">
          <cell r="A1412" t="str">
            <v>41609531</v>
          </cell>
          <cell r="B1412">
            <v>6</v>
          </cell>
        </row>
        <row r="1413">
          <cell r="A1413" t="str">
            <v>41610373</v>
          </cell>
          <cell r="B1413">
            <v>17</v>
          </cell>
        </row>
        <row r="1414">
          <cell r="A1414" t="str">
            <v>41614868</v>
          </cell>
          <cell r="B1414">
            <v>4</v>
          </cell>
        </row>
        <row r="1415">
          <cell r="A1415" t="str">
            <v>41619454</v>
          </cell>
          <cell r="B1415">
            <v>11</v>
          </cell>
        </row>
        <row r="1416">
          <cell r="A1416" t="str">
            <v>41626765</v>
          </cell>
          <cell r="B1416">
            <v>23</v>
          </cell>
        </row>
        <row r="1417">
          <cell r="A1417" t="str">
            <v>41628417</v>
          </cell>
          <cell r="B1417">
            <v>1</v>
          </cell>
        </row>
        <row r="1418">
          <cell r="A1418" t="str">
            <v>41628901</v>
          </cell>
          <cell r="B1418">
            <v>10</v>
          </cell>
        </row>
        <row r="1419">
          <cell r="A1419" t="str">
            <v>41629163</v>
          </cell>
          <cell r="B1419">
            <v>15</v>
          </cell>
        </row>
        <row r="1420">
          <cell r="A1420" t="str">
            <v>41641167</v>
          </cell>
          <cell r="B1420">
            <v>5</v>
          </cell>
        </row>
        <row r="1421">
          <cell r="A1421" t="str">
            <v>41654542</v>
          </cell>
          <cell r="B1421">
            <v>13</v>
          </cell>
        </row>
        <row r="1422">
          <cell r="A1422" t="str">
            <v>41656204</v>
          </cell>
          <cell r="B1422">
            <v>1</v>
          </cell>
        </row>
        <row r="1423">
          <cell r="A1423" t="str">
            <v>41656604</v>
          </cell>
          <cell r="B1423">
            <v>19</v>
          </cell>
        </row>
        <row r="1424">
          <cell r="A1424" t="str">
            <v>41657829</v>
          </cell>
          <cell r="B1424">
            <v>8</v>
          </cell>
        </row>
        <row r="1425">
          <cell r="A1425" t="str">
            <v>41658873</v>
          </cell>
          <cell r="B1425">
            <v>4</v>
          </cell>
        </row>
        <row r="1426">
          <cell r="A1426" t="str">
            <v>41660225</v>
          </cell>
          <cell r="B1426">
            <v>3</v>
          </cell>
        </row>
        <row r="1427">
          <cell r="A1427" t="str">
            <v>41661375</v>
          </cell>
          <cell r="B1427">
            <v>4</v>
          </cell>
        </row>
        <row r="1428">
          <cell r="A1428" t="str">
            <v>41663699</v>
          </cell>
          <cell r="B1428">
            <v>2</v>
          </cell>
        </row>
        <row r="1429">
          <cell r="A1429" t="str">
            <v>41666769</v>
          </cell>
          <cell r="B1429">
            <v>6</v>
          </cell>
        </row>
        <row r="1430">
          <cell r="A1430" t="str">
            <v>41667506</v>
          </cell>
          <cell r="B1430">
            <v>13</v>
          </cell>
        </row>
        <row r="1431">
          <cell r="A1431" t="str">
            <v>41667737</v>
          </cell>
          <cell r="B1431">
            <v>113</v>
          </cell>
        </row>
        <row r="1432">
          <cell r="A1432" t="str">
            <v>41668641</v>
          </cell>
          <cell r="B1432">
            <v>5</v>
          </cell>
        </row>
        <row r="1433">
          <cell r="A1433" t="str">
            <v>41669254</v>
          </cell>
          <cell r="B1433">
            <v>18</v>
          </cell>
        </row>
        <row r="1434">
          <cell r="A1434" t="str">
            <v>41681090</v>
          </cell>
          <cell r="B1434">
            <v>1</v>
          </cell>
        </row>
        <row r="1435">
          <cell r="A1435" t="str">
            <v>41683934</v>
          </cell>
          <cell r="B1435">
            <v>19</v>
          </cell>
        </row>
        <row r="1436">
          <cell r="A1436" t="str">
            <v>41684256</v>
          </cell>
          <cell r="B1436">
            <v>3</v>
          </cell>
        </row>
        <row r="1437">
          <cell r="A1437" t="str">
            <v>41697527</v>
          </cell>
          <cell r="B1437">
            <v>3</v>
          </cell>
        </row>
        <row r="1438">
          <cell r="A1438" t="str">
            <v>41701923</v>
          </cell>
          <cell r="B1438">
            <v>79</v>
          </cell>
        </row>
        <row r="1439">
          <cell r="A1439" t="str">
            <v>41704421</v>
          </cell>
          <cell r="B1439">
            <v>20</v>
          </cell>
        </row>
        <row r="1440">
          <cell r="A1440" t="str">
            <v>41705088</v>
          </cell>
          <cell r="B1440">
            <v>13</v>
          </cell>
        </row>
        <row r="1441">
          <cell r="A1441" t="str">
            <v>41705498</v>
          </cell>
          <cell r="B1441">
            <v>3</v>
          </cell>
        </row>
        <row r="1442">
          <cell r="A1442" t="str">
            <v>41709883</v>
          </cell>
          <cell r="B1442">
            <v>15</v>
          </cell>
        </row>
        <row r="1443">
          <cell r="A1443" t="str">
            <v>41710641</v>
          </cell>
          <cell r="B1443">
            <v>2</v>
          </cell>
        </row>
        <row r="1444">
          <cell r="A1444" t="str">
            <v>41710789</v>
          </cell>
          <cell r="B1444">
            <v>2</v>
          </cell>
        </row>
        <row r="1445">
          <cell r="A1445" t="str">
            <v>41715346</v>
          </cell>
          <cell r="B1445">
            <v>9</v>
          </cell>
        </row>
        <row r="1446">
          <cell r="A1446" t="str">
            <v>41719698</v>
          </cell>
          <cell r="B1446">
            <v>26</v>
          </cell>
        </row>
        <row r="1447">
          <cell r="A1447" t="str">
            <v>41722964</v>
          </cell>
          <cell r="B1447">
            <v>68</v>
          </cell>
        </row>
        <row r="1448">
          <cell r="A1448" t="str">
            <v>41728567</v>
          </cell>
          <cell r="B1448">
            <v>2</v>
          </cell>
        </row>
        <row r="1449">
          <cell r="A1449" t="str">
            <v>41730753</v>
          </cell>
          <cell r="B1449">
            <v>10</v>
          </cell>
        </row>
        <row r="1450">
          <cell r="A1450" t="str">
            <v>41731755</v>
          </cell>
          <cell r="B1450">
            <v>5</v>
          </cell>
        </row>
        <row r="1451">
          <cell r="A1451" t="str">
            <v>41732273</v>
          </cell>
          <cell r="B1451">
            <v>49</v>
          </cell>
        </row>
        <row r="1452">
          <cell r="A1452" t="str">
            <v>41733207</v>
          </cell>
          <cell r="B1452">
            <v>4</v>
          </cell>
        </row>
        <row r="1453">
          <cell r="A1453" t="str">
            <v>41738076</v>
          </cell>
          <cell r="B1453">
            <v>6</v>
          </cell>
        </row>
        <row r="1454">
          <cell r="A1454" t="str">
            <v>41740823</v>
          </cell>
          <cell r="B1454">
            <v>3</v>
          </cell>
        </row>
        <row r="1455">
          <cell r="A1455" t="str">
            <v>41741663</v>
          </cell>
          <cell r="B1455">
            <v>1</v>
          </cell>
        </row>
        <row r="1456">
          <cell r="A1456" t="str">
            <v>41746766</v>
          </cell>
          <cell r="B1456">
            <v>2</v>
          </cell>
        </row>
        <row r="1457">
          <cell r="A1457" t="str">
            <v>41747372</v>
          </cell>
          <cell r="B1457">
            <v>6</v>
          </cell>
        </row>
        <row r="1458">
          <cell r="A1458" t="str">
            <v>41747662</v>
          </cell>
          <cell r="B1458">
            <v>8</v>
          </cell>
        </row>
        <row r="1459">
          <cell r="A1459" t="str">
            <v>41748405</v>
          </cell>
          <cell r="B1459">
            <v>8</v>
          </cell>
        </row>
        <row r="1460">
          <cell r="A1460" t="str">
            <v>41757586</v>
          </cell>
          <cell r="B1460">
            <v>14</v>
          </cell>
        </row>
        <row r="1461">
          <cell r="A1461" t="str">
            <v>41758501</v>
          </cell>
          <cell r="B1461">
            <v>52</v>
          </cell>
        </row>
        <row r="1462">
          <cell r="A1462" t="str">
            <v>41759547</v>
          </cell>
          <cell r="B1462">
            <v>14</v>
          </cell>
        </row>
        <row r="1463">
          <cell r="A1463" t="str">
            <v>41761501</v>
          </cell>
          <cell r="B1463">
            <v>15</v>
          </cell>
        </row>
        <row r="1464">
          <cell r="A1464" t="str">
            <v>41766051</v>
          </cell>
          <cell r="B1464">
            <v>2</v>
          </cell>
        </row>
        <row r="1465">
          <cell r="A1465" t="str">
            <v>41771112</v>
          </cell>
          <cell r="B1465">
            <v>9</v>
          </cell>
        </row>
        <row r="1466">
          <cell r="A1466" t="str">
            <v>41772284</v>
          </cell>
          <cell r="B1466">
            <v>174</v>
          </cell>
        </row>
        <row r="1467">
          <cell r="A1467" t="str">
            <v>41772579</v>
          </cell>
          <cell r="B1467">
            <v>2</v>
          </cell>
        </row>
        <row r="1468">
          <cell r="A1468" t="str">
            <v>41773539</v>
          </cell>
          <cell r="B1468">
            <v>4</v>
          </cell>
        </row>
        <row r="1469">
          <cell r="A1469" t="str">
            <v>41780465</v>
          </cell>
          <cell r="B1469">
            <v>1</v>
          </cell>
        </row>
        <row r="1470">
          <cell r="A1470" t="str">
            <v>41781516</v>
          </cell>
          <cell r="B1470">
            <v>8</v>
          </cell>
        </row>
        <row r="1471">
          <cell r="A1471" t="str">
            <v>41786167</v>
          </cell>
          <cell r="B1471">
            <v>11</v>
          </cell>
        </row>
        <row r="1472">
          <cell r="A1472" t="str">
            <v>41786365</v>
          </cell>
          <cell r="B1472">
            <v>5</v>
          </cell>
        </row>
        <row r="1473">
          <cell r="A1473" t="str">
            <v>41792522</v>
          </cell>
          <cell r="B1473">
            <v>55</v>
          </cell>
        </row>
        <row r="1474">
          <cell r="A1474" t="str">
            <v>41794942</v>
          </cell>
          <cell r="B1474">
            <v>4</v>
          </cell>
        </row>
        <row r="1475">
          <cell r="A1475" t="str">
            <v>41795435</v>
          </cell>
          <cell r="B1475">
            <v>4</v>
          </cell>
        </row>
        <row r="1476">
          <cell r="A1476" t="str">
            <v>41795877</v>
          </cell>
          <cell r="B1476">
            <v>22</v>
          </cell>
        </row>
        <row r="1477">
          <cell r="A1477" t="str">
            <v>41796925</v>
          </cell>
          <cell r="B1477">
            <v>1</v>
          </cell>
        </row>
        <row r="1478">
          <cell r="A1478" t="str">
            <v>41798671</v>
          </cell>
          <cell r="B1478">
            <v>1</v>
          </cell>
        </row>
        <row r="1479">
          <cell r="A1479" t="str">
            <v>41802264</v>
          </cell>
          <cell r="B1479">
            <v>10</v>
          </cell>
        </row>
        <row r="1480">
          <cell r="A1480" t="str">
            <v>41802849</v>
          </cell>
          <cell r="B1480">
            <v>2</v>
          </cell>
        </row>
        <row r="1481">
          <cell r="A1481" t="str">
            <v>41806870</v>
          </cell>
          <cell r="B1481">
            <v>2</v>
          </cell>
        </row>
        <row r="1482">
          <cell r="A1482" t="str">
            <v>41807267</v>
          </cell>
          <cell r="B1482">
            <v>2</v>
          </cell>
        </row>
        <row r="1483">
          <cell r="A1483" t="str">
            <v>41808145</v>
          </cell>
          <cell r="B1483">
            <v>24</v>
          </cell>
        </row>
        <row r="1484">
          <cell r="A1484" t="str">
            <v>41808463</v>
          </cell>
          <cell r="B1484">
            <v>14</v>
          </cell>
        </row>
        <row r="1485">
          <cell r="A1485" t="str">
            <v>41812899</v>
          </cell>
          <cell r="B1485">
            <v>48</v>
          </cell>
        </row>
        <row r="1486">
          <cell r="A1486" t="str">
            <v>41815592</v>
          </cell>
          <cell r="B1486">
            <v>5</v>
          </cell>
        </row>
        <row r="1487">
          <cell r="A1487" t="str">
            <v>41816314</v>
          </cell>
          <cell r="B1487">
            <v>7</v>
          </cell>
        </row>
        <row r="1488">
          <cell r="A1488" t="str">
            <v>41828021</v>
          </cell>
          <cell r="B1488">
            <v>23</v>
          </cell>
        </row>
        <row r="1489">
          <cell r="A1489" t="str">
            <v>41828988</v>
          </cell>
          <cell r="B1489">
            <v>1</v>
          </cell>
        </row>
        <row r="1490">
          <cell r="A1490" t="str">
            <v>41834931</v>
          </cell>
          <cell r="B1490">
            <v>18</v>
          </cell>
        </row>
        <row r="1491">
          <cell r="A1491" t="str">
            <v>41838449</v>
          </cell>
          <cell r="B1491">
            <v>1</v>
          </cell>
        </row>
        <row r="1492">
          <cell r="A1492" t="str">
            <v>41841548</v>
          </cell>
          <cell r="B1492">
            <v>92</v>
          </cell>
        </row>
        <row r="1493">
          <cell r="A1493" t="str">
            <v>41845256</v>
          </cell>
          <cell r="B1493">
            <v>37</v>
          </cell>
        </row>
        <row r="1494">
          <cell r="A1494" t="str">
            <v>41847779</v>
          </cell>
          <cell r="B1494">
            <v>5</v>
          </cell>
        </row>
        <row r="1495">
          <cell r="A1495" t="str">
            <v>41851014</v>
          </cell>
          <cell r="B1495">
            <v>10</v>
          </cell>
        </row>
        <row r="1496">
          <cell r="A1496" t="str">
            <v>41855429</v>
          </cell>
          <cell r="B1496">
            <v>8</v>
          </cell>
        </row>
        <row r="1497">
          <cell r="A1497" t="str">
            <v>41858008</v>
          </cell>
          <cell r="B1497">
            <v>2</v>
          </cell>
        </row>
        <row r="1498">
          <cell r="A1498" t="str">
            <v>41860863</v>
          </cell>
          <cell r="B1498">
            <v>7</v>
          </cell>
        </row>
        <row r="1499">
          <cell r="A1499" t="str">
            <v>41860964</v>
          </cell>
          <cell r="B1499">
            <v>15</v>
          </cell>
        </row>
        <row r="1500">
          <cell r="A1500" t="str">
            <v>41862849</v>
          </cell>
          <cell r="B1500">
            <v>2</v>
          </cell>
        </row>
        <row r="1501">
          <cell r="A1501" t="str">
            <v>41865708</v>
          </cell>
          <cell r="B1501">
            <v>7</v>
          </cell>
        </row>
        <row r="1502">
          <cell r="A1502" t="str">
            <v>41872686</v>
          </cell>
          <cell r="B1502">
            <v>8</v>
          </cell>
        </row>
        <row r="1503">
          <cell r="A1503" t="str">
            <v>41878936</v>
          </cell>
          <cell r="B1503">
            <v>1</v>
          </cell>
        </row>
        <row r="1504">
          <cell r="A1504" t="str">
            <v>41880913</v>
          </cell>
          <cell r="B1504">
            <v>2</v>
          </cell>
        </row>
        <row r="1505">
          <cell r="A1505" t="str">
            <v>41884454</v>
          </cell>
          <cell r="B1505">
            <v>6</v>
          </cell>
        </row>
        <row r="1506">
          <cell r="A1506" t="str">
            <v>41892185</v>
          </cell>
          <cell r="B1506">
            <v>29</v>
          </cell>
        </row>
        <row r="1507">
          <cell r="A1507" t="str">
            <v>41893226</v>
          </cell>
          <cell r="B1507">
            <v>5</v>
          </cell>
        </row>
        <row r="1508">
          <cell r="A1508" t="str">
            <v>41897858</v>
          </cell>
          <cell r="B1508">
            <v>2</v>
          </cell>
        </row>
        <row r="1509">
          <cell r="A1509" t="str">
            <v>41898698</v>
          </cell>
          <cell r="B1509">
            <v>1</v>
          </cell>
        </row>
        <row r="1510">
          <cell r="A1510" t="str">
            <v>41899174</v>
          </cell>
          <cell r="B1510">
            <v>5</v>
          </cell>
        </row>
        <row r="1511">
          <cell r="A1511" t="str">
            <v>41900437</v>
          </cell>
          <cell r="B1511">
            <v>1</v>
          </cell>
        </row>
        <row r="1512">
          <cell r="A1512" t="str">
            <v>41902966</v>
          </cell>
          <cell r="B1512">
            <v>13</v>
          </cell>
        </row>
        <row r="1513">
          <cell r="A1513" t="str">
            <v>41911137</v>
          </cell>
          <cell r="B1513">
            <v>11</v>
          </cell>
        </row>
        <row r="1514">
          <cell r="A1514" t="str">
            <v>41914105</v>
          </cell>
          <cell r="B1514">
            <v>11</v>
          </cell>
        </row>
        <row r="1515">
          <cell r="A1515" t="str">
            <v>41915739</v>
          </cell>
          <cell r="B1515">
            <v>4</v>
          </cell>
        </row>
        <row r="1516">
          <cell r="A1516" t="str">
            <v>41916947</v>
          </cell>
          <cell r="B1516">
            <v>30</v>
          </cell>
        </row>
        <row r="1517">
          <cell r="A1517" t="str">
            <v>41917237</v>
          </cell>
          <cell r="B1517">
            <v>11</v>
          </cell>
        </row>
        <row r="1518">
          <cell r="A1518" t="str">
            <v>41919117</v>
          </cell>
          <cell r="B1518">
            <v>5</v>
          </cell>
        </row>
        <row r="1519">
          <cell r="A1519" t="str">
            <v>41922515</v>
          </cell>
          <cell r="B1519">
            <v>5</v>
          </cell>
        </row>
        <row r="1520">
          <cell r="A1520" t="str">
            <v>41922824</v>
          </cell>
          <cell r="B1520">
            <v>8</v>
          </cell>
        </row>
        <row r="1521">
          <cell r="A1521" t="str">
            <v>41924370</v>
          </cell>
          <cell r="B1521">
            <v>25</v>
          </cell>
        </row>
        <row r="1522">
          <cell r="A1522" t="str">
            <v>41925754</v>
          </cell>
          <cell r="B1522">
            <v>13</v>
          </cell>
        </row>
        <row r="1523">
          <cell r="A1523" t="str">
            <v>41926841</v>
          </cell>
          <cell r="B1523">
            <v>10</v>
          </cell>
        </row>
        <row r="1524">
          <cell r="A1524" t="str">
            <v>41932483</v>
          </cell>
          <cell r="B1524">
            <v>3</v>
          </cell>
        </row>
        <row r="1525">
          <cell r="A1525" t="str">
            <v>41932861</v>
          </cell>
          <cell r="B1525">
            <v>6</v>
          </cell>
        </row>
        <row r="1526">
          <cell r="A1526" t="str">
            <v>41934582</v>
          </cell>
          <cell r="B1526">
            <v>104</v>
          </cell>
        </row>
        <row r="1527">
          <cell r="A1527" t="str">
            <v>41937239</v>
          </cell>
          <cell r="B1527">
            <v>2</v>
          </cell>
        </row>
        <row r="1528">
          <cell r="A1528" t="str">
            <v>41938021</v>
          </cell>
          <cell r="B1528">
            <v>10</v>
          </cell>
        </row>
        <row r="1529">
          <cell r="A1529" t="str">
            <v>41941908</v>
          </cell>
          <cell r="B1529">
            <v>2</v>
          </cell>
        </row>
        <row r="1530">
          <cell r="A1530" t="str">
            <v>41944592</v>
          </cell>
          <cell r="B1530">
            <v>1</v>
          </cell>
        </row>
        <row r="1531">
          <cell r="A1531" t="str">
            <v>41946230</v>
          </cell>
          <cell r="B1531">
            <v>3</v>
          </cell>
        </row>
        <row r="1532">
          <cell r="A1532" t="str">
            <v>41947955</v>
          </cell>
          <cell r="B1532">
            <v>8</v>
          </cell>
        </row>
        <row r="1533">
          <cell r="A1533" t="str">
            <v>41950643</v>
          </cell>
          <cell r="B1533">
            <v>13</v>
          </cell>
        </row>
        <row r="1534">
          <cell r="A1534" t="str">
            <v>41951654</v>
          </cell>
          <cell r="B1534">
            <v>134</v>
          </cell>
        </row>
        <row r="1535">
          <cell r="A1535" t="str">
            <v>41961617</v>
          </cell>
          <cell r="B1535">
            <v>20</v>
          </cell>
        </row>
        <row r="1536">
          <cell r="A1536" t="str">
            <v>41964881</v>
          </cell>
          <cell r="B1536">
            <v>6</v>
          </cell>
        </row>
        <row r="1537">
          <cell r="A1537" t="str">
            <v>41966084</v>
          </cell>
          <cell r="B1537">
            <v>4</v>
          </cell>
        </row>
        <row r="1538">
          <cell r="A1538" t="str">
            <v>41966598</v>
          </cell>
          <cell r="B1538">
            <v>2</v>
          </cell>
        </row>
        <row r="1539">
          <cell r="A1539" t="str">
            <v>41971405</v>
          </cell>
          <cell r="B1539">
            <v>25</v>
          </cell>
        </row>
        <row r="1540">
          <cell r="A1540" t="str">
            <v>41973287</v>
          </cell>
          <cell r="B1540">
            <v>1</v>
          </cell>
        </row>
        <row r="1541">
          <cell r="A1541" t="str">
            <v>41974104</v>
          </cell>
          <cell r="B1541">
            <v>7</v>
          </cell>
        </row>
        <row r="1542">
          <cell r="A1542" t="str">
            <v>41978787</v>
          </cell>
          <cell r="B1542">
            <v>6</v>
          </cell>
        </row>
        <row r="1543">
          <cell r="A1543" t="str">
            <v>41979529</v>
          </cell>
          <cell r="B1543">
            <v>5</v>
          </cell>
        </row>
        <row r="1544">
          <cell r="A1544" t="str">
            <v>41980650</v>
          </cell>
          <cell r="B1544">
            <v>3</v>
          </cell>
        </row>
        <row r="1545">
          <cell r="A1545" t="str">
            <v>41989032</v>
          </cell>
          <cell r="B1545">
            <v>15</v>
          </cell>
        </row>
        <row r="1546">
          <cell r="A1546" t="str">
            <v>41992104</v>
          </cell>
          <cell r="B1546">
            <v>7</v>
          </cell>
        </row>
        <row r="1547">
          <cell r="A1547" t="str">
            <v>41995689</v>
          </cell>
          <cell r="B1547">
            <v>3</v>
          </cell>
        </row>
        <row r="1548">
          <cell r="A1548" t="str">
            <v>41995964</v>
          </cell>
          <cell r="B1548">
            <v>14</v>
          </cell>
        </row>
        <row r="1549">
          <cell r="A1549" t="str">
            <v>41996218</v>
          </cell>
          <cell r="B1549">
            <v>2</v>
          </cell>
        </row>
        <row r="1550">
          <cell r="A1550" t="str">
            <v>42001128</v>
          </cell>
          <cell r="B1550">
            <v>6</v>
          </cell>
        </row>
        <row r="1551">
          <cell r="A1551" t="str">
            <v>42001238</v>
          </cell>
          <cell r="B1551">
            <v>4</v>
          </cell>
        </row>
        <row r="1552">
          <cell r="A1552" t="str">
            <v>42007265</v>
          </cell>
          <cell r="B1552">
            <v>7</v>
          </cell>
        </row>
        <row r="1553">
          <cell r="A1553" t="str">
            <v>42009520</v>
          </cell>
          <cell r="B1553">
            <v>5</v>
          </cell>
        </row>
        <row r="1554">
          <cell r="A1554" t="str">
            <v>42013218</v>
          </cell>
          <cell r="B1554">
            <v>18</v>
          </cell>
        </row>
        <row r="1555">
          <cell r="A1555" t="str">
            <v>42020812</v>
          </cell>
          <cell r="B1555">
            <v>1</v>
          </cell>
        </row>
        <row r="1556">
          <cell r="A1556" t="str">
            <v>42026557</v>
          </cell>
          <cell r="B1556">
            <v>1</v>
          </cell>
        </row>
        <row r="1557">
          <cell r="A1557" t="str">
            <v>42028506</v>
          </cell>
          <cell r="B1557">
            <v>2</v>
          </cell>
        </row>
        <row r="1558">
          <cell r="A1558" t="str">
            <v>42034491</v>
          </cell>
          <cell r="B1558">
            <v>11</v>
          </cell>
        </row>
        <row r="1559">
          <cell r="A1559" t="str">
            <v>42036877</v>
          </cell>
          <cell r="B1559">
            <v>8</v>
          </cell>
        </row>
        <row r="1560">
          <cell r="A1560" t="str">
            <v>42038687</v>
          </cell>
          <cell r="B1560">
            <v>1</v>
          </cell>
        </row>
        <row r="1561">
          <cell r="A1561" t="str">
            <v>42042045</v>
          </cell>
          <cell r="B1561">
            <v>23</v>
          </cell>
        </row>
        <row r="1562">
          <cell r="A1562" t="str">
            <v>42051533</v>
          </cell>
          <cell r="B1562">
            <v>21</v>
          </cell>
        </row>
        <row r="1563">
          <cell r="A1563" t="str">
            <v>42051675</v>
          </cell>
          <cell r="B1563">
            <v>13</v>
          </cell>
        </row>
        <row r="1564">
          <cell r="A1564" t="str">
            <v>42052842</v>
          </cell>
          <cell r="B1564">
            <v>2</v>
          </cell>
        </row>
        <row r="1565">
          <cell r="A1565" t="str">
            <v>42056886</v>
          </cell>
          <cell r="B1565">
            <v>2</v>
          </cell>
        </row>
        <row r="1566">
          <cell r="A1566" t="str">
            <v>42059639</v>
          </cell>
          <cell r="B1566">
            <v>7</v>
          </cell>
        </row>
        <row r="1567">
          <cell r="A1567" t="str">
            <v>42061179</v>
          </cell>
          <cell r="B1567">
            <v>4</v>
          </cell>
        </row>
        <row r="1568">
          <cell r="A1568" t="str">
            <v>42065822</v>
          </cell>
          <cell r="B1568">
            <v>4</v>
          </cell>
        </row>
        <row r="1569">
          <cell r="A1569" t="str">
            <v>42066236</v>
          </cell>
          <cell r="B1569">
            <v>1</v>
          </cell>
        </row>
        <row r="1570">
          <cell r="A1570" t="str">
            <v>42085671</v>
          </cell>
          <cell r="B1570">
            <v>1</v>
          </cell>
        </row>
        <row r="1571">
          <cell r="A1571" t="str">
            <v>42091999</v>
          </cell>
          <cell r="B1571">
            <v>7</v>
          </cell>
        </row>
        <row r="1572">
          <cell r="A1572" t="str">
            <v>42094401</v>
          </cell>
          <cell r="B1572">
            <v>10</v>
          </cell>
        </row>
        <row r="1573">
          <cell r="A1573" t="str">
            <v>42094776</v>
          </cell>
          <cell r="B1573">
            <v>7</v>
          </cell>
        </row>
        <row r="1574">
          <cell r="A1574" t="str">
            <v>42100634</v>
          </cell>
          <cell r="B1574">
            <v>8</v>
          </cell>
        </row>
        <row r="1575">
          <cell r="A1575" t="str">
            <v>42101391</v>
          </cell>
          <cell r="B1575">
            <v>5</v>
          </cell>
        </row>
        <row r="1576">
          <cell r="A1576" t="str">
            <v>42108375</v>
          </cell>
          <cell r="B1576">
            <v>5</v>
          </cell>
        </row>
        <row r="1577">
          <cell r="A1577" t="str">
            <v>42108641</v>
          </cell>
          <cell r="B1577">
            <v>3</v>
          </cell>
        </row>
        <row r="1578">
          <cell r="A1578" t="str">
            <v>42109929</v>
          </cell>
          <cell r="B1578">
            <v>6</v>
          </cell>
        </row>
        <row r="1579">
          <cell r="A1579" t="str">
            <v>42110980</v>
          </cell>
          <cell r="B1579">
            <v>3</v>
          </cell>
        </row>
        <row r="1580">
          <cell r="A1580" t="str">
            <v>42113736</v>
          </cell>
          <cell r="B1580">
            <v>15</v>
          </cell>
        </row>
        <row r="1581">
          <cell r="A1581" t="str">
            <v>42121030</v>
          </cell>
          <cell r="B1581">
            <v>6</v>
          </cell>
        </row>
        <row r="1582">
          <cell r="A1582" t="str">
            <v>42123701</v>
          </cell>
          <cell r="B1582">
            <v>12</v>
          </cell>
        </row>
        <row r="1583">
          <cell r="A1583" t="str">
            <v>42124863</v>
          </cell>
          <cell r="B1583">
            <v>2</v>
          </cell>
        </row>
        <row r="1584">
          <cell r="A1584" t="str">
            <v>42125400</v>
          </cell>
          <cell r="B1584">
            <v>38</v>
          </cell>
        </row>
        <row r="1585">
          <cell r="A1585" t="str">
            <v>42127695</v>
          </cell>
          <cell r="B1585">
            <v>2</v>
          </cell>
        </row>
        <row r="1586">
          <cell r="A1586" t="str">
            <v>42131788</v>
          </cell>
          <cell r="B1586">
            <v>26</v>
          </cell>
        </row>
        <row r="1587">
          <cell r="A1587" t="str">
            <v>42135850</v>
          </cell>
          <cell r="B1587">
            <v>9</v>
          </cell>
        </row>
        <row r="1588">
          <cell r="A1588" t="str">
            <v>42137058</v>
          </cell>
          <cell r="B1588">
            <v>9</v>
          </cell>
        </row>
        <row r="1589">
          <cell r="A1589" t="str">
            <v>42137276</v>
          </cell>
          <cell r="B1589">
            <v>5</v>
          </cell>
        </row>
        <row r="1590">
          <cell r="A1590" t="str">
            <v>42141102</v>
          </cell>
          <cell r="B1590">
            <v>9</v>
          </cell>
        </row>
        <row r="1591">
          <cell r="A1591" t="str">
            <v>42148219</v>
          </cell>
          <cell r="B1591">
            <v>4</v>
          </cell>
        </row>
        <row r="1592">
          <cell r="A1592" t="str">
            <v>42151376</v>
          </cell>
          <cell r="B1592">
            <v>9</v>
          </cell>
        </row>
        <row r="1593">
          <cell r="A1593" t="str">
            <v>42151425</v>
          </cell>
          <cell r="B1593">
            <v>4</v>
          </cell>
        </row>
        <row r="1594">
          <cell r="A1594" t="str">
            <v>42151669</v>
          </cell>
          <cell r="B1594">
            <v>9</v>
          </cell>
        </row>
        <row r="1595">
          <cell r="A1595" t="str">
            <v>42153019</v>
          </cell>
          <cell r="B1595">
            <v>9</v>
          </cell>
        </row>
        <row r="1596">
          <cell r="A1596" t="str">
            <v>42158244</v>
          </cell>
          <cell r="B1596">
            <v>14</v>
          </cell>
        </row>
        <row r="1597">
          <cell r="A1597" t="str">
            <v>42160884</v>
          </cell>
          <cell r="B1597">
            <v>1</v>
          </cell>
        </row>
        <row r="1598">
          <cell r="A1598" t="str">
            <v>42168982</v>
          </cell>
          <cell r="B1598">
            <v>1</v>
          </cell>
        </row>
        <row r="1599">
          <cell r="A1599" t="str">
            <v>42171894</v>
          </cell>
          <cell r="B1599">
            <v>3</v>
          </cell>
        </row>
        <row r="1600">
          <cell r="A1600" t="str">
            <v>42172255</v>
          </cell>
          <cell r="B1600">
            <v>31</v>
          </cell>
        </row>
        <row r="1601">
          <cell r="A1601" t="str">
            <v>42177135</v>
          </cell>
          <cell r="B1601">
            <v>48</v>
          </cell>
        </row>
        <row r="1602">
          <cell r="A1602" t="str">
            <v>42177401</v>
          </cell>
          <cell r="B1602">
            <v>6</v>
          </cell>
        </row>
        <row r="1603">
          <cell r="A1603" t="str">
            <v>42179269</v>
          </cell>
          <cell r="B1603">
            <v>4</v>
          </cell>
        </row>
        <row r="1604">
          <cell r="A1604" t="str">
            <v>42183977</v>
          </cell>
          <cell r="B1604">
            <v>27</v>
          </cell>
        </row>
        <row r="1605">
          <cell r="A1605" t="str">
            <v>42200679</v>
          </cell>
          <cell r="B1605">
            <v>10</v>
          </cell>
        </row>
        <row r="1606">
          <cell r="A1606" t="str">
            <v>42201102</v>
          </cell>
          <cell r="B1606">
            <v>7</v>
          </cell>
        </row>
        <row r="1607">
          <cell r="A1607" t="str">
            <v>42204528</v>
          </cell>
          <cell r="B1607">
            <v>37</v>
          </cell>
        </row>
        <row r="1608">
          <cell r="A1608" t="str">
            <v>42207532</v>
          </cell>
          <cell r="B1608">
            <v>4</v>
          </cell>
        </row>
        <row r="1609">
          <cell r="A1609" t="str">
            <v>42209247</v>
          </cell>
          <cell r="B1609">
            <v>4</v>
          </cell>
        </row>
        <row r="1610">
          <cell r="A1610" t="str">
            <v>42219102</v>
          </cell>
          <cell r="B1610">
            <v>4</v>
          </cell>
        </row>
        <row r="1611">
          <cell r="A1611" t="str">
            <v>42221244</v>
          </cell>
          <cell r="B1611">
            <v>10</v>
          </cell>
        </row>
        <row r="1612">
          <cell r="A1612" t="str">
            <v>42226258</v>
          </cell>
          <cell r="B1612">
            <v>10</v>
          </cell>
        </row>
        <row r="1613">
          <cell r="A1613" t="str">
            <v>42231074</v>
          </cell>
          <cell r="B1613">
            <v>18</v>
          </cell>
        </row>
        <row r="1614">
          <cell r="A1614" t="str">
            <v>42231405</v>
          </cell>
          <cell r="B1614">
            <v>20</v>
          </cell>
        </row>
        <row r="1615">
          <cell r="A1615" t="str">
            <v>42232225</v>
          </cell>
          <cell r="B1615">
            <v>1</v>
          </cell>
        </row>
        <row r="1616">
          <cell r="A1616" t="str">
            <v>42241776</v>
          </cell>
          <cell r="B1616">
            <v>34</v>
          </cell>
        </row>
        <row r="1617">
          <cell r="A1617" t="str">
            <v>42243330</v>
          </cell>
          <cell r="B1617">
            <v>19</v>
          </cell>
        </row>
        <row r="1618">
          <cell r="A1618" t="str">
            <v>42243443</v>
          </cell>
          <cell r="B1618">
            <v>2</v>
          </cell>
        </row>
        <row r="1619">
          <cell r="A1619" t="str">
            <v>42249856</v>
          </cell>
          <cell r="B1619">
            <v>3</v>
          </cell>
        </row>
        <row r="1620">
          <cell r="A1620" t="str">
            <v>42251522</v>
          </cell>
          <cell r="B1620">
            <v>1</v>
          </cell>
        </row>
        <row r="1621">
          <cell r="A1621" t="str">
            <v>42251878</v>
          </cell>
          <cell r="B1621">
            <v>5</v>
          </cell>
        </row>
        <row r="1622">
          <cell r="A1622" t="str">
            <v>42252241</v>
          </cell>
          <cell r="B1622">
            <v>1</v>
          </cell>
        </row>
        <row r="1623">
          <cell r="A1623" t="str">
            <v>42270699</v>
          </cell>
          <cell r="B1623">
            <v>1</v>
          </cell>
        </row>
        <row r="1624">
          <cell r="A1624" t="str">
            <v>42271991</v>
          </cell>
          <cell r="B1624">
            <v>27</v>
          </cell>
        </row>
        <row r="1625">
          <cell r="A1625" t="str">
            <v>42283788</v>
          </cell>
          <cell r="B1625">
            <v>6</v>
          </cell>
        </row>
        <row r="1626">
          <cell r="A1626" t="str">
            <v>42289266</v>
          </cell>
          <cell r="B1626">
            <v>1</v>
          </cell>
        </row>
        <row r="1627">
          <cell r="A1627" t="str">
            <v>42290763</v>
          </cell>
          <cell r="B1627">
            <v>3</v>
          </cell>
        </row>
        <row r="1628">
          <cell r="A1628" t="str">
            <v>42296555</v>
          </cell>
          <cell r="B1628">
            <v>1</v>
          </cell>
        </row>
        <row r="1629">
          <cell r="A1629" t="str">
            <v>42299085</v>
          </cell>
          <cell r="B1629">
            <v>11</v>
          </cell>
        </row>
        <row r="1630">
          <cell r="A1630" t="str">
            <v>42301784</v>
          </cell>
          <cell r="B1630">
            <v>1</v>
          </cell>
        </row>
        <row r="1631">
          <cell r="A1631" t="str">
            <v>42301866</v>
          </cell>
          <cell r="B1631">
            <v>1</v>
          </cell>
        </row>
        <row r="1632">
          <cell r="A1632" t="str">
            <v>42308147</v>
          </cell>
          <cell r="B1632">
            <v>11</v>
          </cell>
        </row>
        <row r="1633">
          <cell r="A1633" t="str">
            <v>42313836</v>
          </cell>
          <cell r="B1633">
            <v>1</v>
          </cell>
        </row>
        <row r="1634">
          <cell r="A1634" t="str">
            <v>42315986</v>
          </cell>
          <cell r="B1634">
            <v>2</v>
          </cell>
        </row>
        <row r="1635">
          <cell r="A1635" t="str">
            <v>42320227</v>
          </cell>
          <cell r="B1635">
            <v>2</v>
          </cell>
        </row>
        <row r="1636">
          <cell r="A1636" t="str">
            <v>42320609</v>
          </cell>
          <cell r="B1636">
            <v>3</v>
          </cell>
        </row>
        <row r="1637">
          <cell r="A1637" t="str">
            <v>42326117</v>
          </cell>
          <cell r="B1637">
            <v>13</v>
          </cell>
        </row>
        <row r="1638">
          <cell r="A1638" t="str">
            <v>42328560</v>
          </cell>
          <cell r="B1638">
            <v>7</v>
          </cell>
        </row>
        <row r="1639">
          <cell r="A1639" t="str">
            <v>42328795</v>
          </cell>
          <cell r="B1639">
            <v>4</v>
          </cell>
        </row>
        <row r="1640">
          <cell r="A1640" t="str">
            <v>42329206</v>
          </cell>
          <cell r="B1640">
            <v>3</v>
          </cell>
        </row>
        <row r="1641">
          <cell r="A1641" t="str">
            <v>42340441</v>
          </cell>
          <cell r="B1641">
            <v>3</v>
          </cell>
        </row>
        <row r="1642">
          <cell r="A1642" t="str">
            <v>42341517</v>
          </cell>
          <cell r="B1642">
            <v>11</v>
          </cell>
        </row>
        <row r="1643">
          <cell r="A1643" t="str">
            <v>42342455</v>
          </cell>
          <cell r="B1643">
            <v>9</v>
          </cell>
        </row>
        <row r="1644">
          <cell r="A1644" t="str">
            <v>42345213</v>
          </cell>
          <cell r="B1644">
            <v>5</v>
          </cell>
        </row>
        <row r="1645">
          <cell r="A1645" t="str">
            <v>42348825</v>
          </cell>
          <cell r="B1645">
            <v>3</v>
          </cell>
        </row>
        <row r="1646">
          <cell r="A1646" t="str">
            <v>42351096</v>
          </cell>
          <cell r="B1646">
            <v>1</v>
          </cell>
        </row>
        <row r="1647">
          <cell r="A1647" t="str">
            <v>42352668</v>
          </cell>
          <cell r="B1647">
            <v>14</v>
          </cell>
        </row>
        <row r="1648">
          <cell r="A1648" t="str">
            <v>42353983</v>
          </cell>
          <cell r="B1648">
            <v>4</v>
          </cell>
        </row>
        <row r="1649">
          <cell r="A1649" t="str">
            <v>42355291</v>
          </cell>
          <cell r="B1649">
            <v>6</v>
          </cell>
        </row>
        <row r="1650">
          <cell r="A1650" t="str">
            <v>42357521</v>
          </cell>
          <cell r="B1650">
            <v>2</v>
          </cell>
        </row>
        <row r="1651">
          <cell r="A1651" t="str">
            <v>42360031</v>
          </cell>
          <cell r="B1651">
            <v>8</v>
          </cell>
        </row>
        <row r="1652">
          <cell r="A1652" t="str">
            <v>42367102</v>
          </cell>
          <cell r="B1652">
            <v>2</v>
          </cell>
        </row>
        <row r="1653">
          <cell r="A1653" t="str">
            <v>42370451</v>
          </cell>
          <cell r="B1653">
            <v>4</v>
          </cell>
        </row>
        <row r="1654">
          <cell r="A1654" t="str">
            <v>42372910</v>
          </cell>
          <cell r="B1654">
            <v>6</v>
          </cell>
        </row>
        <row r="1655">
          <cell r="A1655" t="str">
            <v>42376176</v>
          </cell>
          <cell r="B1655">
            <v>17</v>
          </cell>
        </row>
        <row r="1656">
          <cell r="A1656" t="str">
            <v>42378975</v>
          </cell>
          <cell r="B1656">
            <v>10</v>
          </cell>
        </row>
        <row r="1657">
          <cell r="A1657" t="str">
            <v>42379743</v>
          </cell>
          <cell r="B1657">
            <v>4</v>
          </cell>
        </row>
        <row r="1658">
          <cell r="A1658" t="str">
            <v>42381005</v>
          </cell>
          <cell r="B1658">
            <v>190</v>
          </cell>
        </row>
        <row r="1659">
          <cell r="A1659" t="str">
            <v>42382912</v>
          </cell>
          <cell r="B1659">
            <v>5</v>
          </cell>
        </row>
        <row r="1660">
          <cell r="A1660" t="str">
            <v>42383636</v>
          </cell>
          <cell r="B1660">
            <v>9</v>
          </cell>
        </row>
        <row r="1661">
          <cell r="A1661" t="str">
            <v>42390519</v>
          </cell>
          <cell r="B1661">
            <v>5</v>
          </cell>
        </row>
        <row r="1662">
          <cell r="A1662" t="str">
            <v>42400428</v>
          </cell>
          <cell r="B1662">
            <v>3</v>
          </cell>
        </row>
        <row r="1663">
          <cell r="A1663" t="str">
            <v>42403843</v>
          </cell>
          <cell r="B1663">
            <v>6</v>
          </cell>
        </row>
        <row r="1664">
          <cell r="A1664" t="str">
            <v>42404085</v>
          </cell>
          <cell r="B1664">
            <v>4</v>
          </cell>
        </row>
        <row r="1665">
          <cell r="A1665" t="str">
            <v>42404394</v>
          </cell>
          <cell r="B1665">
            <v>6</v>
          </cell>
        </row>
        <row r="1666">
          <cell r="A1666" t="str">
            <v>42411095</v>
          </cell>
          <cell r="B1666">
            <v>7</v>
          </cell>
        </row>
        <row r="1667">
          <cell r="A1667" t="str">
            <v>42415599</v>
          </cell>
          <cell r="B1667">
            <v>18</v>
          </cell>
        </row>
        <row r="1668">
          <cell r="A1668" t="str">
            <v>42417053</v>
          </cell>
          <cell r="B1668">
            <v>4</v>
          </cell>
        </row>
        <row r="1669">
          <cell r="A1669" t="str">
            <v>42419235</v>
          </cell>
          <cell r="B1669">
            <v>28</v>
          </cell>
        </row>
        <row r="1670">
          <cell r="A1670" t="str">
            <v>42422599</v>
          </cell>
          <cell r="B1670">
            <v>8</v>
          </cell>
        </row>
        <row r="1671">
          <cell r="A1671" t="str">
            <v>42423112</v>
          </cell>
          <cell r="B1671">
            <v>5</v>
          </cell>
        </row>
        <row r="1672">
          <cell r="A1672" t="str">
            <v>42423494</v>
          </cell>
          <cell r="B1672">
            <v>3</v>
          </cell>
        </row>
        <row r="1673">
          <cell r="A1673" t="str">
            <v>42423665</v>
          </cell>
          <cell r="B1673">
            <v>2</v>
          </cell>
        </row>
        <row r="1674">
          <cell r="A1674" t="str">
            <v>42427632</v>
          </cell>
          <cell r="B1674">
            <v>25</v>
          </cell>
        </row>
        <row r="1675">
          <cell r="A1675" t="str">
            <v>42429216</v>
          </cell>
          <cell r="B1675">
            <v>7</v>
          </cell>
        </row>
        <row r="1676">
          <cell r="A1676" t="str">
            <v>42431041</v>
          </cell>
          <cell r="B1676">
            <v>55</v>
          </cell>
        </row>
        <row r="1677">
          <cell r="A1677" t="str">
            <v>42431216</v>
          </cell>
          <cell r="B1677">
            <v>31</v>
          </cell>
        </row>
        <row r="1678">
          <cell r="A1678" t="str">
            <v>42431236</v>
          </cell>
          <cell r="B1678">
            <v>1</v>
          </cell>
        </row>
        <row r="1679">
          <cell r="A1679" t="str">
            <v>42444760</v>
          </cell>
          <cell r="B1679">
            <v>11</v>
          </cell>
        </row>
        <row r="1680">
          <cell r="A1680" t="str">
            <v>42446306</v>
          </cell>
          <cell r="B1680">
            <v>6</v>
          </cell>
        </row>
        <row r="1681">
          <cell r="A1681" t="str">
            <v>42450507</v>
          </cell>
          <cell r="B1681">
            <v>6</v>
          </cell>
        </row>
        <row r="1682">
          <cell r="A1682" t="str">
            <v>42451953</v>
          </cell>
          <cell r="B1682">
            <v>4</v>
          </cell>
        </row>
        <row r="1683">
          <cell r="A1683" t="str">
            <v>42454659</v>
          </cell>
          <cell r="B1683">
            <v>12</v>
          </cell>
        </row>
        <row r="1684">
          <cell r="A1684" t="str">
            <v>42456009</v>
          </cell>
          <cell r="B1684">
            <v>8</v>
          </cell>
        </row>
        <row r="1685">
          <cell r="A1685" t="str">
            <v>42461147</v>
          </cell>
          <cell r="B1685">
            <v>8</v>
          </cell>
        </row>
        <row r="1686">
          <cell r="A1686" t="str">
            <v>42463326</v>
          </cell>
          <cell r="B1686">
            <v>4</v>
          </cell>
        </row>
        <row r="1687">
          <cell r="A1687" t="str">
            <v>42464073</v>
          </cell>
          <cell r="B1687">
            <v>5</v>
          </cell>
        </row>
        <row r="1688">
          <cell r="A1688" t="str">
            <v>42469038</v>
          </cell>
          <cell r="B1688">
            <v>2</v>
          </cell>
        </row>
        <row r="1689">
          <cell r="A1689" t="str">
            <v>42469093</v>
          </cell>
          <cell r="B1689">
            <v>8</v>
          </cell>
        </row>
        <row r="1690">
          <cell r="A1690" t="str">
            <v>42476254</v>
          </cell>
          <cell r="B1690">
            <v>6</v>
          </cell>
        </row>
        <row r="1691">
          <cell r="A1691" t="str">
            <v>42484413</v>
          </cell>
          <cell r="B1691">
            <v>8</v>
          </cell>
        </row>
        <row r="1692">
          <cell r="A1692" t="str">
            <v>42484812</v>
          </cell>
          <cell r="B1692">
            <v>4</v>
          </cell>
        </row>
        <row r="1693">
          <cell r="A1693" t="str">
            <v>42501177</v>
          </cell>
          <cell r="B1693">
            <v>12</v>
          </cell>
        </row>
        <row r="1694">
          <cell r="A1694" t="str">
            <v>42502997</v>
          </cell>
          <cell r="B1694">
            <v>11</v>
          </cell>
        </row>
        <row r="1695">
          <cell r="A1695" t="str">
            <v>42511189</v>
          </cell>
          <cell r="B1695">
            <v>117</v>
          </cell>
        </row>
        <row r="1696">
          <cell r="A1696" t="str">
            <v>42516083</v>
          </cell>
          <cell r="B1696">
            <v>1</v>
          </cell>
        </row>
        <row r="1697">
          <cell r="A1697" t="str">
            <v>42521644</v>
          </cell>
          <cell r="B1697">
            <v>2</v>
          </cell>
        </row>
        <row r="1698">
          <cell r="A1698" t="str">
            <v>42522892</v>
          </cell>
          <cell r="B1698">
            <v>256</v>
          </cell>
        </row>
        <row r="1699">
          <cell r="A1699" t="str">
            <v>42525848</v>
          </cell>
          <cell r="B1699">
            <v>1</v>
          </cell>
        </row>
        <row r="1700">
          <cell r="A1700" t="str">
            <v>42527369</v>
          </cell>
          <cell r="B1700">
            <v>12</v>
          </cell>
        </row>
        <row r="1701">
          <cell r="A1701" t="str">
            <v>42527625</v>
          </cell>
          <cell r="B1701">
            <v>28</v>
          </cell>
        </row>
        <row r="1702">
          <cell r="A1702" t="str">
            <v>42527642</v>
          </cell>
          <cell r="B1702">
            <v>25</v>
          </cell>
        </row>
        <row r="1703">
          <cell r="A1703" t="str">
            <v>42535552</v>
          </cell>
          <cell r="B1703">
            <v>11</v>
          </cell>
        </row>
        <row r="1704">
          <cell r="A1704" t="str">
            <v>42535879</v>
          </cell>
          <cell r="B1704">
            <v>10</v>
          </cell>
        </row>
        <row r="1705">
          <cell r="A1705" t="str">
            <v>42540252</v>
          </cell>
          <cell r="B1705">
            <v>8</v>
          </cell>
        </row>
        <row r="1706">
          <cell r="A1706" t="str">
            <v>42542287</v>
          </cell>
          <cell r="B1706">
            <v>1</v>
          </cell>
        </row>
        <row r="1707">
          <cell r="A1707" t="str">
            <v>42547446</v>
          </cell>
          <cell r="B1707">
            <v>2</v>
          </cell>
        </row>
        <row r="1708">
          <cell r="A1708" t="str">
            <v>42548147</v>
          </cell>
          <cell r="B1708">
            <v>6</v>
          </cell>
        </row>
        <row r="1709">
          <cell r="A1709" t="str">
            <v>42549851</v>
          </cell>
          <cell r="B1709">
            <v>3</v>
          </cell>
        </row>
        <row r="1710">
          <cell r="A1710" t="str">
            <v>42551621</v>
          </cell>
          <cell r="B1710">
            <v>1</v>
          </cell>
        </row>
        <row r="1711">
          <cell r="A1711" t="str">
            <v>42563260</v>
          </cell>
          <cell r="B1711">
            <v>7</v>
          </cell>
        </row>
        <row r="1712">
          <cell r="A1712" t="str">
            <v>42565304</v>
          </cell>
          <cell r="B1712">
            <v>3</v>
          </cell>
        </row>
        <row r="1713">
          <cell r="A1713" t="str">
            <v>42565825</v>
          </cell>
          <cell r="B1713">
            <v>28</v>
          </cell>
        </row>
        <row r="1714">
          <cell r="A1714" t="str">
            <v>42567336</v>
          </cell>
          <cell r="B1714">
            <v>18</v>
          </cell>
        </row>
        <row r="1715">
          <cell r="A1715" t="str">
            <v>42571825</v>
          </cell>
          <cell r="B1715">
            <v>7</v>
          </cell>
        </row>
        <row r="1716">
          <cell r="A1716" t="str">
            <v>42581539</v>
          </cell>
          <cell r="B1716">
            <v>10</v>
          </cell>
        </row>
        <row r="1717">
          <cell r="A1717" t="str">
            <v>42586293</v>
          </cell>
          <cell r="B1717">
            <v>3</v>
          </cell>
        </row>
        <row r="1718">
          <cell r="A1718" t="str">
            <v>42587733</v>
          </cell>
          <cell r="B1718">
            <v>1</v>
          </cell>
        </row>
        <row r="1719">
          <cell r="A1719" t="str">
            <v>42588769</v>
          </cell>
          <cell r="B1719">
            <v>10</v>
          </cell>
        </row>
        <row r="1720">
          <cell r="A1720" t="str">
            <v>42594795</v>
          </cell>
          <cell r="B1720">
            <v>39</v>
          </cell>
        </row>
        <row r="1721">
          <cell r="A1721" t="str">
            <v>42600523</v>
          </cell>
          <cell r="B1721">
            <v>2</v>
          </cell>
        </row>
        <row r="1722">
          <cell r="A1722" t="str">
            <v>42601836</v>
          </cell>
          <cell r="B1722">
            <v>2</v>
          </cell>
        </row>
        <row r="1723">
          <cell r="A1723" t="str">
            <v>42602458</v>
          </cell>
          <cell r="B1723">
            <v>1</v>
          </cell>
        </row>
        <row r="1724">
          <cell r="A1724" t="str">
            <v>42611733</v>
          </cell>
          <cell r="B1724">
            <v>6</v>
          </cell>
        </row>
        <row r="1725">
          <cell r="A1725" t="str">
            <v>42613056</v>
          </cell>
          <cell r="B1725">
            <v>7</v>
          </cell>
        </row>
        <row r="1726">
          <cell r="A1726" t="str">
            <v>42615847</v>
          </cell>
          <cell r="B1726">
            <v>86</v>
          </cell>
        </row>
        <row r="1727">
          <cell r="A1727" t="str">
            <v>42619190</v>
          </cell>
          <cell r="B1727">
            <v>13</v>
          </cell>
        </row>
        <row r="1728">
          <cell r="A1728" t="str">
            <v>42621040</v>
          </cell>
          <cell r="B1728">
            <v>5</v>
          </cell>
        </row>
        <row r="1729">
          <cell r="A1729" t="str">
            <v>42621391</v>
          </cell>
          <cell r="B1729">
            <v>9</v>
          </cell>
        </row>
        <row r="1730">
          <cell r="A1730" t="str">
            <v>42622947</v>
          </cell>
          <cell r="B1730">
            <v>8</v>
          </cell>
        </row>
        <row r="1731">
          <cell r="A1731" t="str">
            <v>42623729</v>
          </cell>
          <cell r="B1731">
            <v>4</v>
          </cell>
        </row>
        <row r="1732">
          <cell r="A1732" t="str">
            <v>42625828</v>
          </cell>
          <cell r="B1732">
            <v>7</v>
          </cell>
        </row>
        <row r="1733">
          <cell r="A1733" t="str">
            <v>42628164</v>
          </cell>
          <cell r="B1733">
            <v>4</v>
          </cell>
        </row>
        <row r="1734">
          <cell r="A1734" t="str">
            <v>42628969</v>
          </cell>
          <cell r="B1734">
            <v>1</v>
          </cell>
        </row>
        <row r="1735">
          <cell r="A1735" t="str">
            <v>42630451</v>
          </cell>
          <cell r="B1735">
            <v>2</v>
          </cell>
        </row>
        <row r="1736">
          <cell r="A1736" t="str">
            <v>42637985</v>
          </cell>
          <cell r="B1736">
            <v>2</v>
          </cell>
        </row>
        <row r="1737">
          <cell r="A1737" t="str">
            <v>42646481</v>
          </cell>
          <cell r="B1737">
            <v>6</v>
          </cell>
        </row>
        <row r="1738">
          <cell r="A1738" t="str">
            <v>42654487</v>
          </cell>
          <cell r="B1738">
            <v>132</v>
          </cell>
        </row>
        <row r="1739">
          <cell r="A1739" t="str">
            <v>42655052</v>
          </cell>
          <cell r="B1739">
            <v>5</v>
          </cell>
        </row>
        <row r="1740">
          <cell r="A1740" t="str">
            <v>42656870</v>
          </cell>
          <cell r="B1740">
            <v>4</v>
          </cell>
        </row>
        <row r="1741">
          <cell r="A1741" t="str">
            <v>42660806</v>
          </cell>
          <cell r="B1741">
            <v>22</v>
          </cell>
        </row>
        <row r="1742">
          <cell r="A1742" t="str">
            <v>42663055</v>
          </cell>
          <cell r="B1742">
            <v>1</v>
          </cell>
        </row>
        <row r="1743">
          <cell r="A1743" t="str">
            <v>42666934</v>
          </cell>
          <cell r="B1743">
            <v>1</v>
          </cell>
        </row>
        <row r="1744">
          <cell r="A1744" t="str">
            <v>42667679</v>
          </cell>
          <cell r="B1744">
            <v>2</v>
          </cell>
        </row>
        <row r="1745">
          <cell r="A1745" t="str">
            <v>42669768</v>
          </cell>
          <cell r="B1745">
            <v>6</v>
          </cell>
        </row>
        <row r="1746">
          <cell r="A1746" t="str">
            <v>42671391</v>
          </cell>
          <cell r="B1746">
            <v>10</v>
          </cell>
        </row>
        <row r="1747">
          <cell r="A1747" t="str">
            <v>42673447</v>
          </cell>
          <cell r="B1747">
            <v>6</v>
          </cell>
        </row>
        <row r="1748">
          <cell r="A1748" t="str">
            <v>42677350</v>
          </cell>
          <cell r="B1748">
            <v>5</v>
          </cell>
        </row>
        <row r="1749">
          <cell r="A1749" t="str">
            <v>42678916</v>
          </cell>
          <cell r="B1749">
            <v>4</v>
          </cell>
        </row>
        <row r="1750">
          <cell r="A1750" t="str">
            <v>42686892</v>
          </cell>
          <cell r="B1750">
            <v>11</v>
          </cell>
        </row>
        <row r="1751">
          <cell r="A1751" t="str">
            <v>42688309</v>
          </cell>
          <cell r="B1751">
            <v>26</v>
          </cell>
        </row>
        <row r="1752">
          <cell r="A1752" t="str">
            <v>42691934</v>
          </cell>
          <cell r="B1752">
            <v>2</v>
          </cell>
        </row>
        <row r="1753">
          <cell r="A1753" t="str">
            <v>42692368</v>
          </cell>
          <cell r="B1753">
            <v>5</v>
          </cell>
        </row>
        <row r="1754">
          <cell r="A1754" t="str">
            <v>42695689</v>
          </cell>
          <cell r="B1754">
            <v>75</v>
          </cell>
        </row>
        <row r="1755">
          <cell r="A1755" t="str">
            <v>42699441</v>
          </cell>
          <cell r="B1755">
            <v>20</v>
          </cell>
        </row>
        <row r="1756">
          <cell r="A1756" t="str">
            <v>42699758</v>
          </cell>
          <cell r="B1756">
            <v>8</v>
          </cell>
        </row>
        <row r="1757">
          <cell r="A1757" t="str">
            <v>42705124</v>
          </cell>
          <cell r="B1757">
            <v>47</v>
          </cell>
        </row>
        <row r="1758">
          <cell r="A1758" t="str">
            <v>42708466</v>
          </cell>
          <cell r="B1758">
            <v>87</v>
          </cell>
        </row>
        <row r="1759">
          <cell r="A1759" t="str">
            <v>42711546</v>
          </cell>
          <cell r="B1759">
            <v>5</v>
          </cell>
        </row>
        <row r="1760">
          <cell r="A1760" t="str">
            <v>42712869</v>
          </cell>
          <cell r="B1760">
            <v>5</v>
          </cell>
        </row>
        <row r="1761">
          <cell r="A1761" t="str">
            <v>42713212</v>
          </cell>
          <cell r="B1761">
            <v>3</v>
          </cell>
        </row>
        <row r="1762">
          <cell r="A1762" t="str">
            <v>42713216</v>
          </cell>
          <cell r="B1762">
            <v>1</v>
          </cell>
        </row>
        <row r="1763">
          <cell r="A1763" t="str">
            <v>42714231</v>
          </cell>
          <cell r="B1763">
            <v>6</v>
          </cell>
        </row>
        <row r="1764">
          <cell r="A1764" t="str">
            <v>42728339</v>
          </cell>
          <cell r="B1764">
            <v>2</v>
          </cell>
        </row>
        <row r="1765">
          <cell r="A1765" t="str">
            <v>42731809</v>
          </cell>
          <cell r="B1765">
            <v>1</v>
          </cell>
        </row>
        <row r="1766">
          <cell r="A1766" t="str">
            <v>42736381</v>
          </cell>
          <cell r="B1766">
            <v>5</v>
          </cell>
        </row>
        <row r="1767">
          <cell r="A1767" t="str">
            <v>42737401</v>
          </cell>
          <cell r="B1767">
            <v>3</v>
          </cell>
        </row>
        <row r="1768">
          <cell r="A1768" t="str">
            <v>42737769</v>
          </cell>
          <cell r="B1768">
            <v>19</v>
          </cell>
        </row>
        <row r="1769">
          <cell r="A1769" t="str">
            <v>42745891</v>
          </cell>
          <cell r="B1769">
            <v>9</v>
          </cell>
        </row>
        <row r="1770">
          <cell r="A1770" t="str">
            <v>42746875</v>
          </cell>
          <cell r="B1770">
            <v>2</v>
          </cell>
        </row>
        <row r="1771">
          <cell r="A1771" t="str">
            <v>42747586</v>
          </cell>
          <cell r="B1771">
            <v>4</v>
          </cell>
        </row>
        <row r="1772">
          <cell r="A1772" t="str">
            <v>42748827</v>
          </cell>
          <cell r="B1772">
            <v>3</v>
          </cell>
        </row>
        <row r="1773">
          <cell r="A1773" t="str">
            <v>42761780</v>
          </cell>
          <cell r="B1773">
            <v>7</v>
          </cell>
        </row>
        <row r="1774">
          <cell r="A1774" t="str">
            <v>42766285</v>
          </cell>
          <cell r="B1774">
            <v>21</v>
          </cell>
        </row>
        <row r="1775">
          <cell r="A1775" t="str">
            <v>42767291</v>
          </cell>
          <cell r="B1775">
            <v>2</v>
          </cell>
        </row>
        <row r="1776">
          <cell r="A1776" t="str">
            <v>42767765</v>
          </cell>
          <cell r="B1776">
            <v>3</v>
          </cell>
        </row>
        <row r="1777">
          <cell r="A1777" t="str">
            <v>42768139</v>
          </cell>
          <cell r="B1777">
            <v>7</v>
          </cell>
        </row>
        <row r="1778">
          <cell r="A1778" t="str">
            <v>42773202</v>
          </cell>
          <cell r="B1778">
            <v>3</v>
          </cell>
        </row>
        <row r="1779">
          <cell r="A1779" t="str">
            <v>42780095</v>
          </cell>
          <cell r="B1779">
            <v>5</v>
          </cell>
        </row>
        <row r="1780">
          <cell r="A1780" t="str">
            <v>42781817</v>
          </cell>
          <cell r="B1780">
            <v>13</v>
          </cell>
        </row>
        <row r="1781">
          <cell r="A1781" t="str">
            <v>42782753</v>
          </cell>
          <cell r="B1781">
            <v>4</v>
          </cell>
        </row>
        <row r="1782">
          <cell r="A1782" t="str">
            <v>42783193</v>
          </cell>
          <cell r="B1782">
            <v>26</v>
          </cell>
        </row>
        <row r="1783">
          <cell r="A1783" t="str">
            <v>42785377</v>
          </cell>
          <cell r="B1783">
            <v>9</v>
          </cell>
        </row>
        <row r="1784">
          <cell r="A1784" t="str">
            <v>42787913</v>
          </cell>
          <cell r="B1784">
            <v>3</v>
          </cell>
        </row>
        <row r="1785">
          <cell r="A1785" t="str">
            <v>42792999</v>
          </cell>
          <cell r="B1785">
            <v>4</v>
          </cell>
        </row>
        <row r="1786">
          <cell r="A1786" t="str">
            <v>42793154</v>
          </cell>
          <cell r="B1786">
            <v>14</v>
          </cell>
        </row>
        <row r="1787">
          <cell r="A1787" t="str">
            <v>42798339</v>
          </cell>
          <cell r="B1787">
            <v>84</v>
          </cell>
        </row>
        <row r="1788">
          <cell r="A1788" t="str">
            <v>42799207</v>
          </cell>
          <cell r="B1788">
            <v>6</v>
          </cell>
        </row>
        <row r="1789">
          <cell r="A1789" t="str">
            <v>42799311</v>
          </cell>
          <cell r="B1789">
            <v>4</v>
          </cell>
        </row>
        <row r="1790">
          <cell r="A1790" t="str">
            <v>42803273</v>
          </cell>
          <cell r="B1790">
            <v>4</v>
          </cell>
        </row>
        <row r="1791">
          <cell r="A1791" t="str">
            <v>42805366</v>
          </cell>
          <cell r="B1791">
            <v>1</v>
          </cell>
        </row>
        <row r="1792">
          <cell r="A1792" t="str">
            <v>42809298</v>
          </cell>
          <cell r="B1792">
            <v>15</v>
          </cell>
        </row>
        <row r="1793">
          <cell r="A1793" t="str">
            <v>42817404</v>
          </cell>
          <cell r="B1793">
            <v>11</v>
          </cell>
        </row>
        <row r="1794">
          <cell r="A1794" t="str">
            <v>42823019</v>
          </cell>
          <cell r="B1794">
            <v>12</v>
          </cell>
        </row>
        <row r="1795">
          <cell r="A1795" t="str">
            <v>42824653</v>
          </cell>
          <cell r="B1795">
            <v>3</v>
          </cell>
        </row>
        <row r="1796">
          <cell r="A1796" t="str">
            <v>42828848</v>
          </cell>
          <cell r="B1796">
            <v>8</v>
          </cell>
        </row>
        <row r="1797">
          <cell r="A1797" t="str">
            <v>42834161</v>
          </cell>
          <cell r="B1797">
            <v>1</v>
          </cell>
        </row>
        <row r="1798">
          <cell r="A1798" t="str">
            <v>42834522</v>
          </cell>
          <cell r="B1798">
            <v>6</v>
          </cell>
        </row>
        <row r="1799">
          <cell r="A1799" t="str">
            <v>42838157</v>
          </cell>
          <cell r="B1799">
            <v>2</v>
          </cell>
        </row>
        <row r="1800">
          <cell r="A1800" t="str">
            <v>42838460</v>
          </cell>
          <cell r="B1800">
            <v>7</v>
          </cell>
        </row>
        <row r="1801">
          <cell r="A1801" t="str">
            <v>42839310</v>
          </cell>
          <cell r="B1801">
            <v>28</v>
          </cell>
        </row>
        <row r="1802">
          <cell r="A1802" t="str">
            <v>42852370</v>
          </cell>
          <cell r="B1802">
            <v>4</v>
          </cell>
        </row>
        <row r="1803">
          <cell r="A1803" t="str">
            <v>42860034</v>
          </cell>
          <cell r="B1803">
            <v>3</v>
          </cell>
        </row>
        <row r="1804">
          <cell r="A1804" t="str">
            <v>42860216</v>
          </cell>
          <cell r="B1804">
            <v>26</v>
          </cell>
        </row>
        <row r="1805">
          <cell r="A1805" t="str">
            <v>42862497</v>
          </cell>
          <cell r="B1805">
            <v>19</v>
          </cell>
        </row>
        <row r="1806">
          <cell r="A1806" t="str">
            <v>42863622</v>
          </cell>
          <cell r="B1806">
            <v>26</v>
          </cell>
        </row>
        <row r="1807">
          <cell r="A1807" t="str">
            <v>42864874</v>
          </cell>
          <cell r="B1807">
            <v>6</v>
          </cell>
        </row>
        <row r="1808">
          <cell r="A1808" t="str">
            <v>42864983</v>
          </cell>
          <cell r="B1808">
            <v>1</v>
          </cell>
        </row>
        <row r="1809">
          <cell r="A1809" t="str">
            <v>42869284</v>
          </cell>
          <cell r="B1809">
            <v>3</v>
          </cell>
        </row>
        <row r="1810">
          <cell r="A1810" t="str">
            <v>42872286</v>
          </cell>
          <cell r="B1810">
            <v>2</v>
          </cell>
        </row>
        <row r="1811">
          <cell r="A1811" t="str">
            <v>42873658</v>
          </cell>
          <cell r="B1811">
            <v>10</v>
          </cell>
        </row>
        <row r="1812">
          <cell r="A1812" t="str">
            <v>42876190</v>
          </cell>
          <cell r="B1812">
            <v>8</v>
          </cell>
        </row>
        <row r="1813">
          <cell r="A1813" t="str">
            <v>42886758</v>
          </cell>
          <cell r="B1813">
            <v>3</v>
          </cell>
        </row>
        <row r="1814">
          <cell r="A1814" t="str">
            <v>42891091</v>
          </cell>
          <cell r="B1814">
            <v>2</v>
          </cell>
        </row>
        <row r="1815">
          <cell r="A1815" t="str">
            <v>42891182</v>
          </cell>
          <cell r="B1815">
            <v>2</v>
          </cell>
        </row>
        <row r="1816">
          <cell r="A1816" t="str">
            <v>42891576</v>
          </cell>
          <cell r="B1816">
            <v>14</v>
          </cell>
        </row>
        <row r="1817">
          <cell r="A1817" t="str">
            <v>42895640</v>
          </cell>
          <cell r="B1817">
            <v>27</v>
          </cell>
        </row>
        <row r="1818">
          <cell r="A1818" t="str">
            <v>42897151</v>
          </cell>
          <cell r="B1818">
            <v>3</v>
          </cell>
        </row>
        <row r="1819">
          <cell r="A1819" t="str">
            <v>42899966</v>
          </cell>
          <cell r="B1819">
            <v>20</v>
          </cell>
        </row>
        <row r="1820">
          <cell r="A1820" t="str">
            <v>42903030</v>
          </cell>
          <cell r="B1820">
            <v>4</v>
          </cell>
        </row>
        <row r="1821">
          <cell r="A1821" t="str">
            <v>42909041</v>
          </cell>
          <cell r="B1821">
            <v>5</v>
          </cell>
        </row>
        <row r="1822">
          <cell r="A1822" t="str">
            <v>42913048</v>
          </cell>
          <cell r="B1822">
            <v>10</v>
          </cell>
        </row>
        <row r="1823">
          <cell r="A1823" t="str">
            <v>42913982</v>
          </cell>
          <cell r="B1823">
            <v>71</v>
          </cell>
        </row>
        <row r="1824">
          <cell r="A1824" t="str">
            <v>42917827</v>
          </cell>
          <cell r="B1824">
            <v>7</v>
          </cell>
        </row>
        <row r="1825">
          <cell r="A1825" t="str">
            <v>42919392</v>
          </cell>
          <cell r="B1825">
            <v>1</v>
          </cell>
        </row>
        <row r="1826">
          <cell r="A1826" t="str">
            <v>42924553</v>
          </cell>
          <cell r="B1826">
            <v>3</v>
          </cell>
        </row>
        <row r="1827">
          <cell r="A1827" t="str">
            <v>42927619</v>
          </cell>
          <cell r="B1827">
            <v>1</v>
          </cell>
        </row>
        <row r="1828">
          <cell r="A1828" t="str">
            <v>42936455</v>
          </cell>
          <cell r="B1828">
            <v>2</v>
          </cell>
        </row>
        <row r="1829">
          <cell r="A1829" t="str">
            <v>42938522</v>
          </cell>
          <cell r="B1829">
            <v>6</v>
          </cell>
        </row>
        <row r="1830">
          <cell r="A1830" t="str">
            <v>42940270</v>
          </cell>
          <cell r="B1830">
            <v>2</v>
          </cell>
        </row>
        <row r="1831">
          <cell r="A1831" t="str">
            <v>42940592</v>
          </cell>
          <cell r="B1831">
            <v>1</v>
          </cell>
        </row>
        <row r="1832">
          <cell r="A1832" t="str">
            <v>42948383</v>
          </cell>
          <cell r="B1832">
            <v>3</v>
          </cell>
        </row>
        <row r="1833">
          <cell r="A1833" t="str">
            <v>42951180</v>
          </cell>
          <cell r="B1833">
            <v>7</v>
          </cell>
        </row>
        <row r="1834">
          <cell r="A1834" t="str">
            <v>42953212</v>
          </cell>
          <cell r="B1834">
            <v>39</v>
          </cell>
        </row>
        <row r="1835">
          <cell r="A1835" t="str">
            <v>42953312</v>
          </cell>
          <cell r="B1835">
            <v>4</v>
          </cell>
        </row>
        <row r="1836">
          <cell r="A1836" t="str">
            <v>42954028</v>
          </cell>
          <cell r="B1836">
            <v>16</v>
          </cell>
        </row>
        <row r="1837">
          <cell r="A1837" t="str">
            <v>42957674</v>
          </cell>
          <cell r="B1837">
            <v>10</v>
          </cell>
        </row>
        <row r="1838">
          <cell r="A1838" t="str">
            <v>42959672</v>
          </cell>
          <cell r="B1838">
            <v>47</v>
          </cell>
        </row>
        <row r="1839">
          <cell r="A1839" t="str">
            <v>42961282</v>
          </cell>
          <cell r="B1839">
            <v>5</v>
          </cell>
        </row>
        <row r="1840">
          <cell r="A1840" t="str">
            <v>42962446</v>
          </cell>
          <cell r="B1840">
            <v>9</v>
          </cell>
        </row>
        <row r="1841">
          <cell r="A1841" t="str">
            <v>42964401</v>
          </cell>
          <cell r="B1841">
            <v>3</v>
          </cell>
        </row>
        <row r="1842">
          <cell r="A1842" t="str">
            <v>42965992</v>
          </cell>
          <cell r="B1842">
            <v>8</v>
          </cell>
        </row>
        <row r="1843">
          <cell r="A1843" t="str">
            <v>42967174</v>
          </cell>
          <cell r="B1843">
            <v>2</v>
          </cell>
        </row>
        <row r="1844">
          <cell r="A1844" t="str">
            <v>42969916</v>
          </cell>
          <cell r="B1844">
            <v>8</v>
          </cell>
        </row>
        <row r="1845">
          <cell r="A1845" t="str">
            <v>42971933</v>
          </cell>
          <cell r="B1845">
            <v>11</v>
          </cell>
        </row>
        <row r="1846">
          <cell r="A1846" t="str">
            <v>42973906</v>
          </cell>
          <cell r="B1846">
            <v>5</v>
          </cell>
        </row>
        <row r="1847">
          <cell r="A1847" t="str">
            <v>42976379</v>
          </cell>
          <cell r="B1847">
            <v>15</v>
          </cell>
        </row>
        <row r="1848">
          <cell r="A1848" t="str">
            <v>42977068</v>
          </cell>
          <cell r="B1848">
            <v>21</v>
          </cell>
        </row>
        <row r="1849">
          <cell r="A1849" t="str">
            <v>42981561</v>
          </cell>
          <cell r="B1849">
            <v>11</v>
          </cell>
        </row>
        <row r="1850">
          <cell r="A1850" t="str">
            <v>42982332</v>
          </cell>
          <cell r="B1850">
            <v>15</v>
          </cell>
        </row>
        <row r="1851">
          <cell r="A1851" t="str">
            <v>42991875</v>
          </cell>
          <cell r="B1851">
            <v>15</v>
          </cell>
        </row>
        <row r="1852">
          <cell r="A1852" t="str">
            <v>42992913</v>
          </cell>
          <cell r="B1852">
            <v>3</v>
          </cell>
        </row>
        <row r="1853">
          <cell r="A1853" t="str">
            <v>42999470</v>
          </cell>
          <cell r="B1853">
            <v>9</v>
          </cell>
        </row>
        <row r="1854">
          <cell r="A1854" t="str">
            <v>43002699</v>
          </cell>
          <cell r="B1854">
            <v>2</v>
          </cell>
        </row>
        <row r="1855">
          <cell r="A1855" t="str">
            <v>43002979</v>
          </cell>
          <cell r="B1855">
            <v>143</v>
          </cell>
        </row>
        <row r="1856">
          <cell r="A1856" t="str">
            <v>43004844</v>
          </cell>
          <cell r="B1856">
            <v>9</v>
          </cell>
        </row>
        <row r="1857">
          <cell r="A1857" t="str">
            <v>43006593</v>
          </cell>
          <cell r="B1857">
            <v>48</v>
          </cell>
        </row>
        <row r="1858">
          <cell r="A1858" t="str">
            <v>43008646</v>
          </cell>
          <cell r="B1858">
            <v>3</v>
          </cell>
        </row>
        <row r="1859">
          <cell r="A1859" t="str">
            <v>43011393</v>
          </cell>
          <cell r="B1859">
            <v>15</v>
          </cell>
        </row>
        <row r="1860">
          <cell r="A1860" t="str">
            <v>43011623</v>
          </cell>
          <cell r="B1860">
            <v>18</v>
          </cell>
        </row>
        <row r="1861">
          <cell r="A1861" t="str">
            <v>43017998</v>
          </cell>
          <cell r="B1861">
            <v>24</v>
          </cell>
        </row>
        <row r="1862">
          <cell r="A1862" t="str">
            <v>43020812</v>
          </cell>
          <cell r="B1862">
            <v>43</v>
          </cell>
        </row>
        <row r="1863">
          <cell r="A1863" t="str">
            <v>43027498</v>
          </cell>
          <cell r="B1863">
            <v>3</v>
          </cell>
        </row>
        <row r="1864">
          <cell r="A1864" t="str">
            <v>43029798</v>
          </cell>
          <cell r="B1864">
            <v>84</v>
          </cell>
        </row>
        <row r="1865">
          <cell r="A1865" t="str">
            <v>43030509</v>
          </cell>
          <cell r="B1865">
            <v>4</v>
          </cell>
        </row>
        <row r="1866">
          <cell r="A1866" t="str">
            <v>43030822</v>
          </cell>
          <cell r="B1866">
            <v>6</v>
          </cell>
        </row>
        <row r="1867">
          <cell r="A1867" t="str">
            <v>43031522</v>
          </cell>
          <cell r="B1867">
            <v>15</v>
          </cell>
        </row>
        <row r="1868">
          <cell r="A1868" t="str">
            <v>43031949</v>
          </cell>
          <cell r="B1868">
            <v>21</v>
          </cell>
        </row>
        <row r="1869">
          <cell r="A1869" t="str">
            <v>43032237</v>
          </cell>
          <cell r="B1869">
            <v>7</v>
          </cell>
        </row>
        <row r="1870">
          <cell r="A1870" t="str">
            <v>43035154</v>
          </cell>
          <cell r="B1870">
            <v>8</v>
          </cell>
        </row>
        <row r="1871">
          <cell r="A1871" t="str">
            <v>43037236</v>
          </cell>
          <cell r="B1871">
            <v>6</v>
          </cell>
        </row>
        <row r="1872">
          <cell r="A1872" t="str">
            <v>43046026</v>
          </cell>
          <cell r="B1872">
            <v>25</v>
          </cell>
        </row>
        <row r="1873">
          <cell r="A1873" t="str">
            <v>43046169</v>
          </cell>
          <cell r="B1873">
            <v>4</v>
          </cell>
        </row>
        <row r="1874">
          <cell r="A1874" t="str">
            <v>43046597</v>
          </cell>
          <cell r="B1874">
            <v>4</v>
          </cell>
        </row>
        <row r="1875">
          <cell r="A1875" t="str">
            <v>43047000</v>
          </cell>
          <cell r="B1875">
            <v>5</v>
          </cell>
        </row>
        <row r="1876">
          <cell r="A1876" t="str">
            <v>43048426</v>
          </cell>
          <cell r="B1876">
            <v>101</v>
          </cell>
        </row>
        <row r="1877">
          <cell r="A1877" t="str">
            <v>43053581</v>
          </cell>
          <cell r="B1877">
            <v>1</v>
          </cell>
        </row>
        <row r="1878">
          <cell r="A1878" t="str">
            <v>43053595</v>
          </cell>
          <cell r="B1878">
            <v>11</v>
          </cell>
        </row>
        <row r="1879">
          <cell r="A1879" t="str">
            <v>43059509</v>
          </cell>
          <cell r="B1879">
            <v>20</v>
          </cell>
        </row>
        <row r="1880">
          <cell r="A1880" t="str">
            <v>43059996</v>
          </cell>
          <cell r="B1880">
            <v>1</v>
          </cell>
        </row>
        <row r="1881">
          <cell r="A1881" t="str">
            <v>43060059</v>
          </cell>
          <cell r="B1881">
            <v>4</v>
          </cell>
        </row>
        <row r="1882">
          <cell r="A1882" t="str">
            <v>43066156</v>
          </cell>
          <cell r="B1882">
            <v>2</v>
          </cell>
        </row>
        <row r="1883">
          <cell r="A1883" t="str">
            <v>43066861</v>
          </cell>
          <cell r="B1883">
            <v>3</v>
          </cell>
        </row>
        <row r="1884">
          <cell r="A1884" t="str">
            <v>43067736</v>
          </cell>
          <cell r="B1884">
            <v>9</v>
          </cell>
        </row>
        <row r="1885">
          <cell r="A1885" t="str">
            <v>43068111</v>
          </cell>
          <cell r="B1885">
            <v>37</v>
          </cell>
        </row>
        <row r="1886">
          <cell r="A1886" t="str">
            <v>43068598</v>
          </cell>
          <cell r="B1886">
            <v>7</v>
          </cell>
        </row>
        <row r="1887">
          <cell r="A1887" t="str">
            <v>43072026</v>
          </cell>
          <cell r="B1887">
            <v>3</v>
          </cell>
        </row>
        <row r="1888">
          <cell r="A1888" t="str">
            <v>43072106</v>
          </cell>
          <cell r="B1888">
            <v>1</v>
          </cell>
        </row>
        <row r="1889">
          <cell r="A1889" t="str">
            <v>43077396</v>
          </cell>
          <cell r="B1889">
            <v>5</v>
          </cell>
        </row>
        <row r="1890">
          <cell r="A1890" t="str">
            <v>43078244</v>
          </cell>
          <cell r="B1890">
            <v>1</v>
          </cell>
        </row>
        <row r="1891">
          <cell r="A1891" t="str">
            <v>43083391</v>
          </cell>
          <cell r="B1891">
            <v>13</v>
          </cell>
        </row>
        <row r="1892">
          <cell r="A1892" t="str">
            <v>43084213</v>
          </cell>
          <cell r="B1892">
            <v>9</v>
          </cell>
        </row>
        <row r="1893">
          <cell r="A1893" t="str">
            <v>43085084</v>
          </cell>
          <cell r="B1893">
            <v>16</v>
          </cell>
        </row>
        <row r="1894">
          <cell r="A1894" t="str">
            <v>43089648</v>
          </cell>
          <cell r="B1894">
            <v>9</v>
          </cell>
        </row>
        <row r="1895">
          <cell r="A1895" t="str">
            <v>43115508</v>
          </cell>
          <cell r="B1895">
            <v>8</v>
          </cell>
        </row>
        <row r="1896">
          <cell r="A1896" t="str">
            <v>43115878</v>
          </cell>
          <cell r="B1896">
            <v>7</v>
          </cell>
        </row>
        <row r="1897">
          <cell r="A1897" t="str">
            <v>43116912</v>
          </cell>
          <cell r="B1897">
            <v>8</v>
          </cell>
        </row>
        <row r="1898">
          <cell r="A1898" t="str">
            <v>43117686</v>
          </cell>
          <cell r="B1898">
            <v>22</v>
          </cell>
        </row>
        <row r="1899">
          <cell r="A1899" t="str">
            <v>43119768</v>
          </cell>
          <cell r="B1899">
            <v>24</v>
          </cell>
        </row>
        <row r="1900">
          <cell r="A1900" t="str">
            <v>43121872</v>
          </cell>
          <cell r="B1900">
            <v>2</v>
          </cell>
        </row>
        <row r="1901">
          <cell r="A1901" t="str">
            <v>43123301</v>
          </cell>
          <cell r="B1901">
            <v>3</v>
          </cell>
        </row>
        <row r="1902">
          <cell r="A1902" t="str">
            <v>43126285</v>
          </cell>
          <cell r="B1902">
            <v>3</v>
          </cell>
        </row>
        <row r="1903">
          <cell r="A1903" t="str">
            <v>43126553</v>
          </cell>
          <cell r="B1903">
            <v>11</v>
          </cell>
        </row>
        <row r="1904">
          <cell r="A1904" t="str">
            <v>43127087</v>
          </cell>
          <cell r="B1904">
            <v>12</v>
          </cell>
        </row>
        <row r="1905">
          <cell r="A1905" t="str">
            <v>43127646</v>
          </cell>
          <cell r="B1905">
            <v>71</v>
          </cell>
        </row>
        <row r="1906">
          <cell r="A1906" t="str">
            <v>43127781</v>
          </cell>
          <cell r="B1906">
            <v>2</v>
          </cell>
        </row>
        <row r="1907">
          <cell r="A1907" t="str">
            <v>43130080</v>
          </cell>
          <cell r="B1907">
            <v>2</v>
          </cell>
        </row>
        <row r="1908">
          <cell r="A1908" t="str">
            <v>43133538</v>
          </cell>
          <cell r="B1908">
            <v>1</v>
          </cell>
        </row>
        <row r="1909">
          <cell r="A1909" t="str">
            <v>43139696</v>
          </cell>
          <cell r="B1909">
            <v>1</v>
          </cell>
        </row>
        <row r="1910">
          <cell r="A1910" t="str">
            <v>43142442</v>
          </cell>
          <cell r="B1910">
            <v>12</v>
          </cell>
        </row>
        <row r="1911">
          <cell r="A1911" t="str">
            <v>43142895</v>
          </cell>
          <cell r="B1911">
            <v>4</v>
          </cell>
        </row>
        <row r="1912">
          <cell r="A1912" t="str">
            <v>43146188</v>
          </cell>
          <cell r="B1912">
            <v>7</v>
          </cell>
        </row>
        <row r="1913">
          <cell r="A1913" t="str">
            <v>43150531</v>
          </cell>
          <cell r="B1913">
            <v>3</v>
          </cell>
        </row>
        <row r="1914">
          <cell r="A1914" t="str">
            <v>43153195</v>
          </cell>
          <cell r="B1914">
            <v>2</v>
          </cell>
        </row>
        <row r="1915">
          <cell r="A1915" t="str">
            <v>43154808</v>
          </cell>
          <cell r="B1915">
            <v>4</v>
          </cell>
        </row>
        <row r="1916">
          <cell r="A1916" t="str">
            <v>43158330</v>
          </cell>
          <cell r="B1916">
            <v>2</v>
          </cell>
        </row>
        <row r="1917">
          <cell r="A1917" t="str">
            <v>43166459</v>
          </cell>
          <cell r="B1917">
            <v>3</v>
          </cell>
        </row>
        <row r="1918">
          <cell r="A1918" t="str">
            <v>43170358</v>
          </cell>
          <cell r="B1918">
            <v>22</v>
          </cell>
        </row>
        <row r="1919">
          <cell r="A1919" t="str">
            <v>43170864</v>
          </cell>
          <cell r="B1919">
            <v>3</v>
          </cell>
        </row>
        <row r="1920">
          <cell r="A1920" t="str">
            <v>43173589</v>
          </cell>
          <cell r="B1920">
            <v>6</v>
          </cell>
        </row>
        <row r="1921">
          <cell r="A1921" t="str">
            <v>43174682</v>
          </cell>
          <cell r="B1921">
            <v>1</v>
          </cell>
        </row>
        <row r="1922">
          <cell r="A1922" t="str">
            <v>43182358</v>
          </cell>
          <cell r="B1922">
            <v>13</v>
          </cell>
        </row>
        <row r="1923">
          <cell r="A1923" t="str">
            <v>43184760</v>
          </cell>
          <cell r="B1923">
            <v>11</v>
          </cell>
        </row>
        <row r="1924">
          <cell r="A1924" t="str">
            <v>43186810</v>
          </cell>
          <cell r="B1924">
            <v>1</v>
          </cell>
        </row>
        <row r="1925">
          <cell r="A1925" t="str">
            <v>43194101</v>
          </cell>
          <cell r="B1925">
            <v>1</v>
          </cell>
        </row>
        <row r="1926">
          <cell r="A1926" t="str">
            <v>43197675</v>
          </cell>
          <cell r="B1926">
            <v>2</v>
          </cell>
        </row>
        <row r="1927">
          <cell r="A1927" t="str">
            <v>43207382</v>
          </cell>
          <cell r="B1927">
            <v>1</v>
          </cell>
        </row>
        <row r="1928">
          <cell r="A1928" t="str">
            <v>43207968</v>
          </cell>
          <cell r="B1928">
            <v>3</v>
          </cell>
        </row>
        <row r="1929">
          <cell r="A1929" t="str">
            <v>43214816</v>
          </cell>
          <cell r="B1929">
            <v>48</v>
          </cell>
        </row>
        <row r="1930">
          <cell r="A1930" t="str">
            <v>43218969</v>
          </cell>
          <cell r="B1930">
            <v>8</v>
          </cell>
        </row>
        <row r="1931">
          <cell r="A1931" t="str">
            <v>43226280</v>
          </cell>
          <cell r="B1931">
            <v>12</v>
          </cell>
        </row>
        <row r="1932">
          <cell r="A1932" t="str">
            <v>43230226</v>
          </cell>
          <cell r="B1932">
            <v>2</v>
          </cell>
        </row>
        <row r="1933">
          <cell r="A1933" t="str">
            <v>43232690</v>
          </cell>
          <cell r="B1933">
            <v>4</v>
          </cell>
        </row>
        <row r="1934">
          <cell r="A1934" t="str">
            <v>43239678</v>
          </cell>
          <cell r="B1934">
            <v>5</v>
          </cell>
        </row>
        <row r="1935">
          <cell r="A1935" t="str">
            <v>43240793</v>
          </cell>
          <cell r="B1935">
            <v>4</v>
          </cell>
        </row>
        <row r="1936">
          <cell r="A1936" t="str">
            <v>43250924</v>
          </cell>
          <cell r="B1936">
            <v>15</v>
          </cell>
        </row>
        <row r="1937">
          <cell r="A1937" t="str">
            <v>43253379</v>
          </cell>
          <cell r="B1937">
            <v>2</v>
          </cell>
        </row>
        <row r="1938">
          <cell r="A1938" t="str">
            <v>43253436</v>
          </cell>
          <cell r="B1938">
            <v>3</v>
          </cell>
        </row>
        <row r="1939">
          <cell r="A1939" t="str">
            <v>43255551</v>
          </cell>
          <cell r="B1939">
            <v>2</v>
          </cell>
        </row>
        <row r="1940">
          <cell r="A1940" t="str">
            <v>43264135</v>
          </cell>
          <cell r="B1940">
            <v>4</v>
          </cell>
        </row>
        <row r="1941">
          <cell r="A1941" t="str">
            <v>43267353</v>
          </cell>
          <cell r="B1941">
            <v>16</v>
          </cell>
        </row>
        <row r="1942">
          <cell r="A1942" t="str">
            <v>43275154</v>
          </cell>
          <cell r="B1942">
            <v>13</v>
          </cell>
        </row>
        <row r="1943">
          <cell r="A1943" t="str">
            <v>43277272</v>
          </cell>
          <cell r="B1943">
            <v>5</v>
          </cell>
        </row>
        <row r="1944">
          <cell r="A1944" t="str">
            <v>43278292</v>
          </cell>
          <cell r="B1944">
            <v>89</v>
          </cell>
        </row>
        <row r="1945">
          <cell r="A1945" t="str">
            <v>43279850</v>
          </cell>
          <cell r="B1945">
            <v>6</v>
          </cell>
        </row>
        <row r="1946">
          <cell r="A1946" t="str">
            <v>43281076</v>
          </cell>
          <cell r="B1946">
            <v>3</v>
          </cell>
        </row>
        <row r="1947">
          <cell r="A1947" t="str">
            <v>43283179</v>
          </cell>
          <cell r="B1947">
            <v>1</v>
          </cell>
        </row>
        <row r="1948">
          <cell r="A1948" t="str">
            <v>43288537</v>
          </cell>
          <cell r="B1948">
            <v>26</v>
          </cell>
        </row>
        <row r="1949">
          <cell r="A1949" t="str">
            <v>43289868</v>
          </cell>
          <cell r="B1949">
            <v>6</v>
          </cell>
        </row>
        <row r="1950">
          <cell r="A1950" t="str">
            <v>43298409</v>
          </cell>
          <cell r="B1950">
            <v>13</v>
          </cell>
        </row>
        <row r="1951">
          <cell r="A1951" t="str">
            <v>43308378</v>
          </cell>
          <cell r="B1951">
            <v>2</v>
          </cell>
        </row>
        <row r="1952">
          <cell r="A1952" t="str">
            <v>43312693</v>
          </cell>
          <cell r="B1952">
            <v>6</v>
          </cell>
        </row>
        <row r="1953">
          <cell r="A1953" t="str">
            <v>43313973</v>
          </cell>
          <cell r="B1953">
            <v>22</v>
          </cell>
        </row>
        <row r="1954">
          <cell r="A1954" t="str">
            <v>43315370</v>
          </cell>
          <cell r="B1954">
            <v>2</v>
          </cell>
        </row>
        <row r="1955">
          <cell r="A1955" t="str">
            <v>43319725</v>
          </cell>
          <cell r="B1955">
            <v>5</v>
          </cell>
        </row>
        <row r="1956">
          <cell r="A1956" t="str">
            <v>43326051</v>
          </cell>
          <cell r="B1956">
            <v>1</v>
          </cell>
        </row>
        <row r="1957">
          <cell r="A1957" t="str">
            <v>43326532</v>
          </cell>
          <cell r="B1957">
            <v>4</v>
          </cell>
        </row>
        <row r="1958">
          <cell r="A1958" t="str">
            <v>43328026</v>
          </cell>
          <cell r="B1958">
            <v>6</v>
          </cell>
        </row>
        <row r="1959">
          <cell r="A1959" t="str">
            <v>43332938</v>
          </cell>
          <cell r="B1959">
            <v>5</v>
          </cell>
        </row>
        <row r="1960">
          <cell r="A1960" t="str">
            <v>43340691</v>
          </cell>
          <cell r="B1960">
            <v>17</v>
          </cell>
        </row>
        <row r="1961">
          <cell r="A1961" t="str">
            <v>43341565</v>
          </cell>
          <cell r="B1961">
            <v>3</v>
          </cell>
        </row>
        <row r="1962">
          <cell r="A1962" t="str">
            <v>43341815</v>
          </cell>
          <cell r="B1962">
            <v>10</v>
          </cell>
        </row>
        <row r="1963">
          <cell r="A1963" t="str">
            <v>43346729</v>
          </cell>
          <cell r="B1963">
            <v>3</v>
          </cell>
        </row>
        <row r="1964">
          <cell r="A1964" t="str">
            <v>43347540</v>
          </cell>
          <cell r="B1964">
            <v>15</v>
          </cell>
        </row>
        <row r="1965">
          <cell r="A1965" t="str">
            <v>43348362</v>
          </cell>
          <cell r="B1965">
            <v>31</v>
          </cell>
        </row>
        <row r="1966">
          <cell r="A1966" t="str">
            <v>43352538</v>
          </cell>
          <cell r="B1966">
            <v>117</v>
          </cell>
        </row>
        <row r="1967">
          <cell r="A1967" t="str">
            <v>43355618</v>
          </cell>
          <cell r="B1967">
            <v>5</v>
          </cell>
        </row>
        <row r="1968">
          <cell r="A1968" t="str">
            <v>43363323</v>
          </cell>
          <cell r="B1968">
            <v>15</v>
          </cell>
        </row>
        <row r="1969">
          <cell r="A1969" t="str">
            <v>43367966</v>
          </cell>
          <cell r="B1969">
            <v>5</v>
          </cell>
        </row>
        <row r="1970">
          <cell r="A1970" t="str">
            <v>43368747</v>
          </cell>
          <cell r="B1970">
            <v>6</v>
          </cell>
        </row>
        <row r="1971">
          <cell r="A1971" t="str">
            <v>43378702</v>
          </cell>
          <cell r="B1971">
            <v>4</v>
          </cell>
        </row>
        <row r="1972">
          <cell r="A1972" t="str">
            <v>43384560</v>
          </cell>
          <cell r="B1972">
            <v>12</v>
          </cell>
        </row>
        <row r="1973">
          <cell r="A1973" t="str">
            <v>43391406</v>
          </cell>
          <cell r="B1973">
            <v>3</v>
          </cell>
        </row>
        <row r="1974">
          <cell r="A1974" t="str">
            <v>43392192</v>
          </cell>
          <cell r="B1974">
            <v>15</v>
          </cell>
        </row>
        <row r="1975">
          <cell r="A1975" t="str">
            <v>43393907</v>
          </cell>
          <cell r="B1975">
            <v>29</v>
          </cell>
        </row>
        <row r="1976">
          <cell r="A1976" t="str">
            <v>43403219</v>
          </cell>
          <cell r="B1976">
            <v>13</v>
          </cell>
        </row>
        <row r="1977">
          <cell r="A1977" t="str">
            <v>43407901</v>
          </cell>
          <cell r="B1977">
            <v>2</v>
          </cell>
        </row>
        <row r="1978">
          <cell r="A1978" t="str">
            <v>43409189</v>
          </cell>
          <cell r="B1978">
            <v>3</v>
          </cell>
        </row>
        <row r="1979">
          <cell r="A1979" t="str">
            <v>43413522</v>
          </cell>
          <cell r="B1979">
            <v>2</v>
          </cell>
        </row>
        <row r="1980">
          <cell r="A1980" t="str">
            <v>43416967</v>
          </cell>
          <cell r="B1980">
            <v>7</v>
          </cell>
        </row>
        <row r="1981">
          <cell r="A1981" t="str">
            <v>43422995</v>
          </cell>
          <cell r="B1981">
            <v>12</v>
          </cell>
        </row>
        <row r="1982">
          <cell r="A1982" t="str">
            <v>43427419</v>
          </cell>
          <cell r="B1982">
            <v>13</v>
          </cell>
        </row>
        <row r="1983">
          <cell r="A1983" t="str">
            <v>43430072</v>
          </cell>
          <cell r="B1983">
            <v>10</v>
          </cell>
        </row>
        <row r="1984">
          <cell r="A1984" t="str">
            <v>43431362</v>
          </cell>
          <cell r="B1984">
            <v>14</v>
          </cell>
        </row>
        <row r="1985">
          <cell r="A1985" t="str">
            <v>43431494</v>
          </cell>
          <cell r="B1985">
            <v>17</v>
          </cell>
        </row>
        <row r="1986">
          <cell r="A1986" t="str">
            <v>43433859</v>
          </cell>
          <cell r="B1986">
            <v>9</v>
          </cell>
        </row>
        <row r="1987">
          <cell r="A1987" t="str">
            <v>43434680</v>
          </cell>
          <cell r="B1987">
            <v>8</v>
          </cell>
        </row>
        <row r="1988">
          <cell r="A1988" t="str">
            <v>43438868</v>
          </cell>
          <cell r="B1988">
            <v>3</v>
          </cell>
        </row>
        <row r="1989">
          <cell r="A1989" t="str">
            <v>43445870</v>
          </cell>
          <cell r="B1989">
            <v>6</v>
          </cell>
        </row>
        <row r="1990">
          <cell r="A1990" t="str">
            <v>43450445</v>
          </cell>
          <cell r="B1990">
            <v>2</v>
          </cell>
        </row>
        <row r="1991">
          <cell r="A1991" t="str">
            <v>43451060</v>
          </cell>
          <cell r="B1991">
            <v>5</v>
          </cell>
        </row>
        <row r="1992">
          <cell r="A1992" t="str">
            <v>43452852</v>
          </cell>
          <cell r="B1992">
            <v>24</v>
          </cell>
        </row>
        <row r="1993">
          <cell r="A1993" t="str">
            <v>43458722</v>
          </cell>
          <cell r="B1993">
            <v>18</v>
          </cell>
        </row>
        <row r="1994">
          <cell r="A1994" t="str">
            <v>43460732</v>
          </cell>
          <cell r="B1994">
            <v>7</v>
          </cell>
        </row>
        <row r="1995">
          <cell r="A1995" t="str">
            <v>43465220</v>
          </cell>
          <cell r="B1995">
            <v>3</v>
          </cell>
        </row>
        <row r="1996">
          <cell r="A1996" t="str">
            <v>43468967</v>
          </cell>
          <cell r="B1996">
            <v>12</v>
          </cell>
        </row>
        <row r="1997">
          <cell r="A1997" t="str">
            <v>43478441</v>
          </cell>
          <cell r="B1997">
            <v>1</v>
          </cell>
        </row>
        <row r="1998">
          <cell r="A1998" t="str">
            <v>43478547</v>
          </cell>
          <cell r="B1998">
            <v>16</v>
          </cell>
        </row>
        <row r="1999">
          <cell r="A1999" t="str">
            <v>43480597</v>
          </cell>
          <cell r="B1999">
            <v>11</v>
          </cell>
        </row>
        <row r="2000">
          <cell r="A2000" t="str">
            <v>43482290</v>
          </cell>
          <cell r="B2000">
            <v>15</v>
          </cell>
        </row>
        <row r="2001">
          <cell r="A2001" t="str">
            <v>43484355</v>
          </cell>
          <cell r="B2001">
            <v>22</v>
          </cell>
        </row>
        <row r="2002">
          <cell r="A2002" t="str">
            <v>43486500</v>
          </cell>
          <cell r="B2002">
            <v>1</v>
          </cell>
        </row>
        <row r="2003">
          <cell r="A2003" t="str">
            <v>43489660</v>
          </cell>
          <cell r="B2003">
            <v>3</v>
          </cell>
        </row>
        <row r="2004">
          <cell r="A2004" t="str">
            <v>43490007</v>
          </cell>
          <cell r="B2004">
            <v>3</v>
          </cell>
        </row>
        <row r="2005">
          <cell r="A2005" t="str">
            <v>43491098</v>
          </cell>
          <cell r="B2005">
            <v>4</v>
          </cell>
        </row>
        <row r="2006">
          <cell r="A2006" t="str">
            <v>43491153</v>
          </cell>
          <cell r="B2006">
            <v>14</v>
          </cell>
        </row>
        <row r="2007">
          <cell r="A2007" t="str">
            <v>43492289</v>
          </cell>
          <cell r="B2007">
            <v>21</v>
          </cell>
        </row>
        <row r="2008">
          <cell r="A2008" t="str">
            <v>43492972</v>
          </cell>
          <cell r="B2008">
            <v>31</v>
          </cell>
        </row>
        <row r="2009">
          <cell r="A2009" t="str">
            <v>43494617</v>
          </cell>
          <cell r="B2009">
            <v>5</v>
          </cell>
        </row>
        <row r="2010">
          <cell r="A2010" t="str">
            <v>43499925</v>
          </cell>
          <cell r="B2010">
            <v>7</v>
          </cell>
        </row>
        <row r="2011">
          <cell r="A2011" t="str">
            <v>43500347</v>
          </cell>
          <cell r="B2011">
            <v>4</v>
          </cell>
        </row>
        <row r="2012">
          <cell r="A2012" t="str">
            <v>43513742</v>
          </cell>
          <cell r="B2012">
            <v>53</v>
          </cell>
        </row>
        <row r="2013">
          <cell r="A2013" t="str">
            <v>43526260</v>
          </cell>
          <cell r="B2013">
            <v>1</v>
          </cell>
        </row>
        <row r="2014">
          <cell r="A2014" t="str">
            <v>43529347</v>
          </cell>
          <cell r="B2014">
            <v>1</v>
          </cell>
        </row>
        <row r="2015">
          <cell r="A2015" t="str">
            <v>43532714</v>
          </cell>
          <cell r="B2015">
            <v>9</v>
          </cell>
        </row>
        <row r="2016">
          <cell r="A2016" t="str">
            <v>43536981</v>
          </cell>
          <cell r="B2016">
            <v>14</v>
          </cell>
        </row>
        <row r="2017">
          <cell r="A2017" t="str">
            <v>43541375</v>
          </cell>
          <cell r="B2017">
            <v>69</v>
          </cell>
        </row>
        <row r="2018">
          <cell r="A2018" t="str">
            <v>43561501</v>
          </cell>
          <cell r="B2018">
            <v>32</v>
          </cell>
        </row>
        <row r="2019">
          <cell r="A2019" t="str">
            <v>43564287</v>
          </cell>
          <cell r="B2019">
            <v>3</v>
          </cell>
        </row>
        <row r="2020">
          <cell r="A2020" t="str">
            <v>43567666</v>
          </cell>
          <cell r="B2020">
            <v>4</v>
          </cell>
        </row>
        <row r="2021">
          <cell r="A2021" t="str">
            <v>43577704</v>
          </cell>
          <cell r="B2021">
            <v>2</v>
          </cell>
        </row>
        <row r="2022">
          <cell r="A2022" t="str">
            <v>43578585</v>
          </cell>
          <cell r="B2022">
            <v>10</v>
          </cell>
        </row>
        <row r="2023">
          <cell r="A2023" t="str">
            <v>43582856</v>
          </cell>
          <cell r="B2023">
            <v>12</v>
          </cell>
        </row>
        <row r="2024">
          <cell r="A2024" t="str">
            <v>43589392</v>
          </cell>
          <cell r="B2024">
            <v>8</v>
          </cell>
        </row>
        <row r="2025">
          <cell r="A2025" t="str">
            <v>43595384</v>
          </cell>
          <cell r="B2025">
            <v>1</v>
          </cell>
        </row>
        <row r="2026">
          <cell r="A2026" t="str">
            <v>43604548</v>
          </cell>
          <cell r="B2026">
            <v>87</v>
          </cell>
        </row>
        <row r="2027">
          <cell r="A2027" t="str">
            <v>43605113</v>
          </cell>
          <cell r="B2027">
            <v>19</v>
          </cell>
        </row>
        <row r="2028">
          <cell r="A2028" t="str">
            <v>43605657</v>
          </cell>
          <cell r="B2028">
            <v>7</v>
          </cell>
        </row>
        <row r="2029">
          <cell r="A2029" t="str">
            <v>43607694</v>
          </cell>
          <cell r="B2029">
            <v>7</v>
          </cell>
        </row>
        <row r="2030">
          <cell r="A2030" t="str">
            <v>43608046</v>
          </cell>
          <cell r="B2030">
            <v>62</v>
          </cell>
        </row>
        <row r="2031">
          <cell r="A2031" t="str">
            <v>43611056</v>
          </cell>
          <cell r="B2031">
            <v>10</v>
          </cell>
        </row>
        <row r="2032">
          <cell r="A2032" t="str">
            <v>43612767</v>
          </cell>
          <cell r="B2032">
            <v>2</v>
          </cell>
        </row>
        <row r="2033">
          <cell r="A2033" t="str">
            <v>43614310</v>
          </cell>
          <cell r="B2033">
            <v>8</v>
          </cell>
        </row>
        <row r="2034">
          <cell r="A2034" t="str">
            <v>43634712</v>
          </cell>
          <cell r="B2034">
            <v>1</v>
          </cell>
        </row>
        <row r="2035">
          <cell r="A2035" t="str">
            <v>43635800</v>
          </cell>
          <cell r="B2035">
            <v>3</v>
          </cell>
        </row>
        <row r="2036">
          <cell r="A2036" t="str">
            <v>43638777</v>
          </cell>
          <cell r="B2036">
            <v>9</v>
          </cell>
        </row>
        <row r="2037">
          <cell r="A2037" t="str">
            <v>43640096</v>
          </cell>
          <cell r="B2037">
            <v>1</v>
          </cell>
        </row>
        <row r="2038">
          <cell r="A2038" t="str">
            <v>43650532</v>
          </cell>
          <cell r="B2038">
            <v>6</v>
          </cell>
        </row>
        <row r="2039">
          <cell r="A2039" t="str">
            <v>43652447</v>
          </cell>
          <cell r="B2039">
            <v>5</v>
          </cell>
        </row>
        <row r="2040">
          <cell r="A2040" t="str">
            <v>43653462</v>
          </cell>
          <cell r="B2040">
            <v>3</v>
          </cell>
        </row>
        <row r="2041">
          <cell r="A2041" t="str">
            <v>43655864</v>
          </cell>
          <cell r="B2041">
            <v>10</v>
          </cell>
        </row>
        <row r="2042">
          <cell r="A2042" t="str">
            <v>43657404</v>
          </cell>
          <cell r="B2042">
            <v>8</v>
          </cell>
        </row>
        <row r="2043">
          <cell r="A2043" t="str">
            <v>43661083</v>
          </cell>
          <cell r="B2043">
            <v>10</v>
          </cell>
        </row>
        <row r="2044">
          <cell r="A2044" t="str">
            <v>43667705</v>
          </cell>
          <cell r="B2044">
            <v>3</v>
          </cell>
        </row>
        <row r="2045">
          <cell r="A2045" t="str">
            <v>43668841</v>
          </cell>
          <cell r="B2045">
            <v>12</v>
          </cell>
        </row>
        <row r="2046">
          <cell r="A2046" t="str">
            <v>43670287</v>
          </cell>
          <cell r="B2046">
            <v>4</v>
          </cell>
        </row>
        <row r="2047">
          <cell r="A2047" t="str">
            <v>43673186</v>
          </cell>
          <cell r="B2047">
            <v>12</v>
          </cell>
        </row>
        <row r="2048">
          <cell r="A2048" t="str">
            <v>43676327</v>
          </cell>
          <cell r="B2048">
            <v>6</v>
          </cell>
        </row>
        <row r="2049">
          <cell r="A2049" t="str">
            <v>43676662</v>
          </cell>
          <cell r="B2049">
            <v>32</v>
          </cell>
        </row>
        <row r="2050">
          <cell r="A2050" t="str">
            <v>43678001</v>
          </cell>
          <cell r="B2050">
            <v>106</v>
          </cell>
        </row>
        <row r="2051">
          <cell r="A2051" t="str">
            <v>43679564</v>
          </cell>
          <cell r="B2051">
            <v>19</v>
          </cell>
        </row>
        <row r="2052">
          <cell r="A2052" t="str">
            <v>43684961</v>
          </cell>
          <cell r="B2052">
            <v>17</v>
          </cell>
        </row>
        <row r="2053">
          <cell r="A2053" t="str">
            <v>43686145</v>
          </cell>
          <cell r="B2053">
            <v>1</v>
          </cell>
        </row>
        <row r="2054">
          <cell r="A2054" t="str">
            <v>43695254</v>
          </cell>
          <cell r="B2054">
            <v>6</v>
          </cell>
        </row>
        <row r="2055">
          <cell r="A2055" t="str">
            <v>43696724</v>
          </cell>
          <cell r="B2055">
            <v>178</v>
          </cell>
        </row>
        <row r="2056">
          <cell r="A2056" t="str">
            <v>43700847</v>
          </cell>
          <cell r="B2056">
            <v>26</v>
          </cell>
        </row>
        <row r="2057">
          <cell r="A2057" t="str">
            <v>43700939</v>
          </cell>
          <cell r="B2057">
            <v>23</v>
          </cell>
        </row>
        <row r="2058">
          <cell r="A2058" t="str">
            <v>43702450</v>
          </cell>
          <cell r="B2058">
            <v>12</v>
          </cell>
        </row>
        <row r="2059">
          <cell r="A2059" t="str">
            <v>43703770</v>
          </cell>
          <cell r="B2059">
            <v>1</v>
          </cell>
        </row>
        <row r="2060">
          <cell r="A2060" t="str">
            <v>43704916</v>
          </cell>
          <cell r="B2060">
            <v>1</v>
          </cell>
        </row>
        <row r="2061">
          <cell r="A2061" t="str">
            <v>43705834</v>
          </cell>
          <cell r="B2061">
            <v>63</v>
          </cell>
        </row>
        <row r="2062">
          <cell r="A2062" t="str">
            <v>43707128</v>
          </cell>
          <cell r="B2062">
            <v>139</v>
          </cell>
        </row>
        <row r="2063">
          <cell r="A2063" t="str">
            <v>43708595</v>
          </cell>
          <cell r="B2063">
            <v>2</v>
          </cell>
        </row>
        <row r="2064">
          <cell r="A2064" t="str">
            <v>43715553</v>
          </cell>
          <cell r="B2064">
            <v>1</v>
          </cell>
        </row>
        <row r="2065">
          <cell r="A2065" t="str">
            <v>43716615</v>
          </cell>
          <cell r="B2065">
            <v>19</v>
          </cell>
        </row>
        <row r="2066">
          <cell r="A2066" t="str">
            <v>43719197</v>
          </cell>
          <cell r="B2066">
            <v>1</v>
          </cell>
        </row>
        <row r="2067">
          <cell r="A2067" t="str">
            <v>43719921</v>
          </cell>
          <cell r="B2067">
            <v>11</v>
          </cell>
        </row>
        <row r="2068">
          <cell r="A2068" t="str">
            <v>43723310</v>
          </cell>
          <cell r="B2068">
            <v>1</v>
          </cell>
        </row>
        <row r="2069">
          <cell r="A2069" t="str">
            <v>43726948</v>
          </cell>
          <cell r="B2069">
            <v>13</v>
          </cell>
        </row>
        <row r="2070">
          <cell r="A2070" t="str">
            <v>43729320</v>
          </cell>
          <cell r="B2070">
            <v>10</v>
          </cell>
        </row>
        <row r="2071">
          <cell r="A2071" t="str">
            <v>43729471</v>
          </cell>
          <cell r="B2071">
            <v>1</v>
          </cell>
        </row>
        <row r="2072">
          <cell r="A2072" t="str">
            <v>43730131</v>
          </cell>
          <cell r="B2072">
            <v>1</v>
          </cell>
        </row>
        <row r="2073">
          <cell r="A2073" t="str">
            <v>43732212</v>
          </cell>
          <cell r="B2073">
            <v>1</v>
          </cell>
        </row>
        <row r="2074">
          <cell r="A2074" t="str">
            <v>43735195</v>
          </cell>
          <cell r="B2074">
            <v>2</v>
          </cell>
        </row>
        <row r="2075">
          <cell r="A2075" t="str">
            <v>43742804</v>
          </cell>
          <cell r="B2075">
            <v>11</v>
          </cell>
        </row>
        <row r="2076">
          <cell r="A2076" t="str">
            <v>43743374</v>
          </cell>
          <cell r="B2076">
            <v>11</v>
          </cell>
        </row>
        <row r="2077">
          <cell r="A2077" t="str">
            <v>43747069</v>
          </cell>
          <cell r="B2077">
            <v>5</v>
          </cell>
        </row>
        <row r="2078">
          <cell r="A2078" t="str">
            <v>43748457</v>
          </cell>
          <cell r="B2078">
            <v>2</v>
          </cell>
        </row>
        <row r="2079">
          <cell r="A2079" t="str">
            <v>43750072</v>
          </cell>
          <cell r="B2079">
            <v>11</v>
          </cell>
        </row>
        <row r="2080">
          <cell r="A2080" t="str">
            <v>43752879</v>
          </cell>
          <cell r="B2080">
            <v>1</v>
          </cell>
        </row>
        <row r="2081">
          <cell r="A2081" t="str">
            <v>43755637</v>
          </cell>
          <cell r="B2081">
            <v>1</v>
          </cell>
        </row>
        <row r="2082">
          <cell r="A2082" t="str">
            <v>43763395</v>
          </cell>
          <cell r="B2082">
            <v>4</v>
          </cell>
        </row>
        <row r="2083">
          <cell r="A2083" t="str">
            <v>43766416</v>
          </cell>
          <cell r="B2083">
            <v>87</v>
          </cell>
        </row>
        <row r="2084">
          <cell r="A2084" t="str">
            <v>43766840</v>
          </cell>
          <cell r="B2084">
            <v>2</v>
          </cell>
        </row>
        <row r="2085">
          <cell r="A2085" t="str">
            <v>43767916</v>
          </cell>
          <cell r="B2085">
            <v>26</v>
          </cell>
        </row>
        <row r="2086">
          <cell r="A2086" t="str">
            <v>43769314</v>
          </cell>
          <cell r="B2086">
            <v>11</v>
          </cell>
        </row>
        <row r="2087">
          <cell r="A2087" t="str">
            <v>43776589</v>
          </cell>
          <cell r="B2087">
            <v>4</v>
          </cell>
        </row>
        <row r="2088">
          <cell r="A2088" t="str">
            <v>43779743</v>
          </cell>
          <cell r="B2088">
            <v>35</v>
          </cell>
        </row>
        <row r="2089">
          <cell r="A2089" t="str">
            <v>43780922</v>
          </cell>
          <cell r="B2089">
            <v>1</v>
          </cell>
        </row>
        <row r="2090">
          <cell r="A2090" t="str">
            <v>43785496</v>
          </cell>
          <cell r="B2090">
            <v>8</v>
          </cell>
        </row>
        <row r="2091">
          <cell r="A2091" t="str">
            <v>43787793</v>
          </cell>
          <cell r="B2091">
            <v>9</v>
          </cell>
        </row>
        <row r="2092">
          <cell r="A2092" t="str">
            <v>43790854</v>
          </cell>
          <cell r="B2092">
            <v>7</v>
          </cell>
        </row>
        <row r="2093">
          <cell r="A2093" t="str">
            <v>43791552</v>
          </cell>
          <cell r="B2093">
            <v>4</v>
          </cell>
        </row>
        <row r="2094">
          <cell r="A2094" t="str">
            <v>43798427</v>
          </cell>
          <cell r="B2094">
            <v>6</v>
          </cell>
        </row>
        <row r="2095">
          <cell r="A2095" t="str">
            <v>43807720</v>
          </cell>
          <cell r="B2095">
            <v>6</v>
          </cell>
        </row>
        <row r="2096">
          <cell r="A2096" t="str">
            <v>43808250</v>
          </cell>
          <cell r="B2096">
            <v>1</v>
          </cell>
        </row>
        <row r="2097">
          <cell r="A2097" t="str">
            <v>43810822</v>
          </cell>
          <cell r="B2097">
            <v>14</v>
          </cell>
        </row>
        <row r="2098">
          <cell r="A2098" t="str">
            <v>43811418</v>
          </cell>
          <cell r="B2098">
            <v>4</v>
          </cell>
        </row>
        <row r="2099">
          <cell r="A2099" t="str">
            <v>43812258</v>
          </cell>
          <cell r="B2099">
            <v>9</v>
          </cell>
        </row>
        <row r="2100">
          <cell r="A2100" t="str">
            <v>43815724</v>
          </cell>
          <cell r="B2100">
            <v>3</v>
          </cell>
        </row>
        <row r="2101">
          <cell r="A2101" t="str">
            <v>43822768</v>
          </cell>
          <cell r="B2101">
            <v>6</v>
          </cell>
        </row>
        <row r="2102">
          <cell r="A2102" t="str">
            <v>43825320</v>
          </cell>
          <cell r="B2102">
            <v>1</v>
          </cell>
        </row>
        <row r="2103">
          <cell r="A2103" t="str">
            <v>43826987</v>
          </cell>
          <cell r="B2103">
            <v>13</v>
          </cell>
        </row>
        <row r="2104">
          <cell r="A2104" t="str">
            <v>43840210</v>
          </cell>
          <cell r="B2104">
            <v>173</v>
          </cell>
        </row>
        <row r="2105">
          <cell r="A2105" t="str">
            <v>43843030</v>
          </cell>
          <cell r="B2105">
            <v>1</v>
          </cell>
        </row>
        <row r="2106">
          <cell r="A2106" t="str">
            <v>43844241</v>
          </cell>
          <cell r="B2106">
            <v>5</v>
          </cell>
        </row>
        <row r="2107">
          <cell r="A2107" t="str">
            <v>43844949</v>
          </cell>
          <cell r="B2107">
            <v>4</v>
          </cell>
        </row>
        <row r="2108">
          <cell r="A2108" t="str">
            <v>43844975</v>
          </cell>
          <cell r="B2108">
            <v>2</v>
          </cell>
        </row>
        <row r="2109">
          <cell r="A2109" t="str">
            <v>43847958</v>
          </cell>
          <cell r="B2109">
            <v>39</v>
          </cell>
        </row>
        <row r="2110">
          <cell r="A2110" t="str">
            <v>43849901</v>
          </cell>
          <cell r="B2110">
            <v>28</v>
          </cell>
        </row>
        <row r="2111">
          <cell r="A2111" t="str">
            <v>43850648</v>
          </cell>
          <cell r="B2111">
            <v>9</v>
          </cell>
        </row>
        <row r="2112">
          <cell r="A2112" t="str">
            <v>43855596</v>
          </cell>
          <cell r="B2112">
            <v>4</v>
          </cell>
        </row>
        <row r="2113">
          <cell r="A2113" t="str">
            <v>43859887</v>
          </cell>
          <cell r="B2113">
            <v>15</v>
          </cell>
        </row>
        <row r="2114">
          <cell r="A2114" t="str">
            <v>43862923</v>
          </cell>
          <cell r="B2114">
            <v>2</v>
          </cell>
        </row>
        <row r="2115">
          <cell r="A2115" t="str">
            <v>43869564</v>
          </cell>
          <cell r="B2115">
            <v>12</v>
          </cell>
        </row>
        <row r="2116">
          <cell r="A2116" t="str">
            <v>43871055</v>
          </cell>
          <cell r="B2116">
            <v>9</v>
          </cell>
        </row>
        <row r="2117">
          <cell r="A2117" t="str">
            <v>43873783</v>
          </cell>
          <cell r="B2117">
            <v>3</v>
          </cell>
        </row>
        <row r="2118">
          <cell r="A2118" t="str">
            <v>43878242</v>
          </cell>
          <cell r="B2118">
            <v>5</v>
          </cell>
        </row>
        <row r="2119">
          <cell r="A2119" t="str">
            <v>43880614</v>
          </cell>
          <cell r="B2119">
            <v>5</v>
          </cell>
        </row>
        <row r="2120">
          <cell r="A2120" t="str">
            <v>43882891</v>
          </cell>
          <cell r="B2120">
            <v>10</v>
          </cell>
        </row>
        <row r="2121">
          <cell r="A2121" t="str">
            <v>43883240</v>
          </cell>
          <cell r="B2121">
            <v>4</v>
          </cell>
        </row>
        <row r="2122">
          <cell r="A2122" t="str">
            <v>43885298</v>
          </cell>
          <cell r="B2122">
            <v>12</v>
          </cell>
        </row>
        <row r="2123">
          <cell r="A2123" t="str">
            <v>43887723</v>
          </cell>
          <cell r="B2123">
            <v>1</v>
          </cell>
        </row>
        <row r="2124">
          <cell r="A2124" t="str">
            <v>43895621</v>
          </cell>
          <cell r="B2124">
            <v>38</v>
          </cell>
        </row>
        <row r="2125">
          <cell r="A2125" t="str">
            <v>43896417</v>
          </cell>
          <cell r="B2125">
            <v>5</v>
          </cell>
        </row>
        <row r="2126">
          <cell r="A2126" t="str">
            <v>43903841</v>
          </cell>
          <cell r="B2126">
            <v>3</v>
          </cell>
        </row>
        <row r="2127">
          <cell r="A2127" t="str">
            <v>43907168</v>
          </cell>
          <cell r="B2127">
            <v>6</v>
          </cell>
        </row>
        <row r="2128">
          <cell r="A2128" t="str">
            <v>43907669</v>
          </cell>
          <cell r="B2128">
            <v>19</v>
          </cell>
        </row>
        <row r="2129">
          <cell r="A2129" t="str">
            <v>43909283</v>
          </cell>
          <cell r="B2129">
            <v>8</v>
          </cell>
        </row>
        <row r="2130">
          <cell r="A2130" t="str">
            <v>43919220</v>
          </cell>
          <cell r="B2130">
            <v>11</v>
          </cell>
        </row>
        <row r="2131">
          <cell r="A2131" t="str">
            <v>43922319</v>
          </cell>
          <cell r="B2131">
            <v>7</v>
          </cell>
        </row>
        <row r="2132">
          <cell r="A2132" t="str">
            <v>43923690</v>
          </cell>
          <cell r="B2132">
            <v>82</v>
          </cell>
        </row>
        <row r="2133">
          <cell r="A2133" t="str">
            <v>43925707</v>
          </cell>
          <cell r="B2133">
            <v>2</v>
          </cell>
        </row>
        <row r="2134">
          <cell r="A2134" t="str">
            <v>43931357</v>
          </cell>
          <cell r="B2134">
            <v>62</v>
          </cell>
        </row>
        <row r="2135">
          <cell r="A2135" t="str">
            <v>43936108</v>
          </cell>
          <cell r="B2135">
            <v>47</v>
          </cell>
        </row>
        <row r="2136">
          <cell r="A2136" t="str">
            <v>43942122</v>
          </cell>
          <cell r="B2136">
            <v>26</v>
          </cell>
        </row>
        <row r="2137">
          <cell r="A2137" t="str">
            <v>43953554</v>
          </cell>
          <cell r="B2137">
            <v>4</v>
          </cell>
        </row>
        <row r="2138">
          <cell r="A2138" t="str">
            <v>43954553</v>
          </cell>
          <cell r="B2138">
            <v>109</v>
          </cell>
        </row>
        <row r="2139">
          <cell r="A2139" t="str">
            <v>43964830</v>
          </cell>
          <cell r="B2139">
            <v>6</v>
          </cell>
        </row>
        <row r="2140">
          <cell r="A2140" t="str">
            <v>43971935</v>
          </cell>
          <cell r="B2140">
            <v>1</v>
          </cell>
        </row>
        <row r="2141">
          <cell r="A2141" t="str">
            <v>43973732</v>
          </cell>
          <cell r="B2141">
            <v>3</v>
          </cell>
        </row>
        <row r="2142">
          <cell r="A2142" t="str">
            <v>43977754</v>
          </cell>
          <cell r="B2142">
            <v>28</v>
          </cell>
        </row>
        <row r="2143">
          <cell r="A2143" t="str">
            <v>43977878</v>
          </cell>
          <cell r="B2143">
            <v>6</v>
          </cell>
        </row>
        <row r="2144">
          <cell r="A2144" t="str">
            <v>43978213</v>
          </cell>
          <cell r="B2144">
            <v>1</v>
          </cell>
        </row>
        <row r="2145">
          <cell r="A2145" t="str">
            <v>43980637</v>
          </cell>
          <cell r="B2145">
            <v>2</v>
          </cell>
        </row>
        <row r="2146">
          <cell r="A2146" t="str">
            <v>43982009</v>
          </cell>
          <cell r="B2146">
            <v>1</v>
          </cell>
        </row>
        <row r="2147">
          <cell r="A2147" t="str">
            <v>43986019</v>
          </cell>
          <cell r="B2147">
            <v>2</v>
          </cell>
        </row>
        <row r="2148">
          <cell r="A2148" t="str">
            <v>43991675</v>
          </cell>
          <cell r="B2148">
            <v>3</v>
          </cell>
        </row>
        <row r="2149">
          <cell r="A2149" t="str">
            <v>43991738</v>
          </cell>
          <cell r="B2149">
            <v>4</v>
          </cell>
        </row>
        <row r="2150">
          <cell r="A2150" t="str">
            <v>43994312</v>
          </cell>
          <cell r="B2150">
            <v>4</v>
          </cell>
        </row>
        <row r="2151">
          <cell r="A2151" t="str">
            <v>43996729</v>
          </cell>
          <cell r="B2151">
            <v>3</v>
          </cell>
        </row>
        <row r="2152">
          <cell r="A2152" t="str">
            <v>43997073</v>
          </cell>
          <cell r="B2152">
            <v>34</v>
          </cell>
        </row>
        <row r="2153">
          <cell r="A2153" t="str">
            <v>43997154</v>
          </cell>
          <cell r="B2153">
            <v>78</v>
          </cell>
        </row>
        <row r="2154">
          <cell r="A2154" t="str">
            <v>43999969</v>
          </cell>
          <cell r="B2154">
            <v>24</v>
          </cell>
        </row>
        <row r="2155">
          <cell r="A2155" t="str">
            <v>44002166</v>
          </cell>
          <cell r="B2155">
            <v>1</v>
          </cell>
        </row>
        <row r="2156">
          <cell r="A2156" t="str">
            <v>44011358</v>
          </cell>
          <cell r="B2156">
            <v>1</v>
          </cell>
        </row>
        <row r="2157">
          <cell r="A2157" t="str">
            <v>44013749</v>
          </cell>
          <cell r="B2157">
            <v>13</v>
          </cell>
        </row>
        <row r="2158">
          <cell r="A2158" t="str">
            <v>44018040</v>
          </cell>
          <cell r="B2158">
            <v>2</v>
          </cell>
        </row>
        <row r="2159">
          <cell r="A2159" t="str">
            <v>44018751</v>
          </cell>
          <cell r="B2159">
            <v>18</v>
          </cell>
        </row>
        <row r="2160">
          <cell r="A2160" t="str">
            <v>44020387</v>
          </cell>
          <cell r="B2160">
            <v>5</v>
          </cell>
        </row>
        <row r="2161">
          <cell r="A2161" t="str">
            <v>44023803</v>
          </cell>
          <cell r="B2161">
            <v>1</v>
          </cell>
        </row>
        <row r="2162">
          <cell r="A2162" t="str">
            <v>44030207</v>
          </cell>
          <cell r="B2162">
            <v>2</v>
          </cell>
        </row>
        <row r="2163">
          <cell r="A2163" t="str">
            <v>44031025</v>
          </cell>
          <cell r="B2163">
            <v>5</v>
          </cell>
        </row>
        <row r="2164">
          <cell r="A2164" t="str">
            <v>44034416</v>
          </cell>
          <cell r="B2164">
            <v>5</v>
          </cell>
        </row>
        <row r="2165">
          <cell r="A2165" t="str">
            <v>44057531</v>
          </cell>
          <cell r="B2165">
            <v>3</v>
          </cell>
        </row>
        <row r="2166">
          <cell r="A2166" t="str">
            <v>44059483</v>
          </cell>
          <cell r="B2166">
            <v>3</v>
          </cell>
        </row>
        <row r="2167">
          <cell r="A2167" t="str">
            <v>44062206</v>
          </cell>
          <cell r="B2167">
            <v>4</v>
          </cell>
        </row>
        <row r="2168">
          <cell r="A2168" t="str">
            <v>44065020</v>
          </cell>
          <cell r="B2168">
            <v>3</v>
          </cell>
        </row>
        <row r="2169">
          <cell r="A2169" t="str">
            <v>44069159</v>
          </cell>
          <cell r="B2169">
            <v>35</v>
          </cell>
        </row>
        <row r="2170">
          <cell r="A2170" t="str">
            <v>44071542</v>
          </cell>
          <cell r="B2170">
            <v>2</v>
          </cell>
        </row>
        <row r="2171">
          <cell r="A2171" t="str">
            <v>44078266</v>
          </cell>
          <cell r="B2171">
            <v>18</v>
          </cell>
        </row>
        <row r="2172">
          <cell r="A2172" t="str">
            <v>44079984</v>
          </cell>
          <cell r="B2172">
            <v>2</v>
          </cell>
        </row>
        <row r="2173">
          <cell r="A2173" t="str">
            <v>44081344</v>
          </cell>
          <cell r="B2173">
            <v>9</v>
          </cell>
        </row>
        <row r="2174">
          <cell r="A2174" t="str">
            <v>44095642</v>
          </cell>
          <cell r="B2174">
            <v>3</v>
          </cell>
        </row>
        <row r="2175">
          <cell r="A2175" t="str">
            <v>44095647</v>
          </cell>
          <cell r="B2175">
            <v>4</v>
          </cell>
        </row>
        <row r="2176">
          <cell r="A2176" t="str">
            <v>44098713</v>
          </cell>
          <cell r="B2176">
            <v>7</v>
          </cell>
        </row>
        <row r="2177">
          <cell r="A2177" t="str">
            <v>44099919</v>
          </cell>
          <cell r="B2177">
            <v>8</v>
          </cell>
        </row>
        <row r="2178">
          <cell r="A2178" t="str">
            <v>44101851</v>
          </cell>
          <cell r="B2178">
            <v>2</v>
          </cell>
        </row>
        <row r="2179">
          <cell r="A2179" t="str">
            <v>44106775</v>
          </cell>
          <cell r="B2179">
            <v>107</v>
          </cell>
        </row>
        <row r="2180">
          <cell r="A2180" t="str">
            <v>44108491</v>
          </cell>
          <cell r="B2180">
            <v>3</v>
          </cell>
        </row>
        <row r="2181">
          <cell r="A2181" t="str">
            <v>44111068</v>
          </cell>
          <cell r="B2181">
            <v>8</v>
          </cell>
        </row>
        <row r="2182">
          <cell r="A2182" t="str">
            <v>44111644</v>
          </cell>
          <cell r="B2182">
            <v>7</v>
          </cell>
        </row>
        <row r="2183">
          <cell r="A2183" t="str">
            <v>44125025</v>
          </cell>
          <cell r="B2183">
            <v>22</v>
          </cell>
        </row>
        <row r="2184">
          <cell r="A2184" t="str">
            <v>44125283</v>
          </cell>
          <cell r="B2184">
            <v>45</v>
          </cell>
        </row>
        <row r="2185">
          <cell r="A2185" t="str">
            <v>44128281</v>
          </cell>
          <cell r="B2185">
            <v>19</v>
          </cell>
        </row>
        <row r="2186">
          <cell r="A2186" t="str">
            <v>44128468</v>
          </cell>
          <cell r="B2186">
            <v>1</v>
          </cell>
        </row>
        <row r="2187">
          <cell r="A2187" t="str">
            <v>44129900</v>
          </cell>
          <cell r="B2187">
            <v>2</v>
          </cell>
        </row>
        <row r="2188">
          <cell r="A2188" t="str">
            <v>44131720</v>
          </cell>
          <cell r="B2188">
            <v>9</v>
          </cell>
        </row>
        <row r="2189">
          <cell r="A2189" t="str">
            <v>44135444</v>
          </cell>
          <cell r="B2189">
            <v>9</v>
          </cell>
        </row>
        <row r="2190">
          <cell r="A2190" t="str">
            <v>44137665</v>
          </cell>
          <cell r="B2190">
            <v>13</v>
          </cell>
        </row>
        <row r="2191">
          <cell r="A2191" t="str">
            <v>44139798</v>
          </cell>
          <cell r="B2191">
            <v>9</v>
          </cell>
        </row>
        <row r="2192">
          <cell r="A2192" t="str">
            <v>44147427</v>
          </cell>
          <cell r="B2192">
            <v>1</v>
          </cell>
        </row>
        <row r="2193">
          <cell r="A2193" t="str">
            <v>44147533</v>
          </cell>
          <cell r="B2193">
            <v>28</v>
          </cell>
        </row>
        <row r="2194">
          <cell r="A2194" t="str">
            <v>44151715</v>
          </cell>
          <cell r="B2194">
            <v>27</v>
          </cell>
        </row>
        <row r="2195">
          <cell r="A2195" t="str">
            <v>44155236</v>
          </cell>
          <cell r="B2195">
            <v>1</v>
          </cell>
        </row>
        <row r="2196">
          <cell r="A2196" t="str">
            <v>44159195</v>
          </cell>
          <cell r="B2196">
            <v>9</v>
          </cell>
        </row>
        <row r="2197">
          <cell r="A2197" t="str">
            <v>44161800</v>
          </cell>
          <cell r="B2197">
            <v>13</v>
          </cell>
        </row>
        <row r="2198">
          <cell r="A2198" t="str">
            <v>44165802</v>
          </cell>
          <cell r="B2198">
            <v>6</v>
          </cell>
        </row>
        <row r="2199">
          <cell r="A2199" t="str">
            <v>44166829</v>
          </cell>
          <cell r="B2199">
            <v>5</v>
          </cell>
        </row>
        <row r="2200">
          <cell r="A2200" t="str">
            <v>44170904</v>
          </cell>
          <cell r="B2200">
            <v>131</v>
          </cell>
        </row>
        <row r="2201">
          <cell r="A2201" t="str">
            <v>44178571</v>
          </cell>
          <cell r="B2201">
            <v>1</v>
          </cell>
        </row>
        <row r="2202">
          <cell r="A2202" t="str">
            <v>44179953</v>
          </cell>
          <cell r="B2202">
            <v>1</v>
          </cell>
        </row>
        <row r="2203">
          <cell r="A2203" t="str">
            <v>44182252</v>
          </cell>
          <cell r="B2203">
            <v>16</v>
          </cell>
        </row>
        <row r="2204">
          <cell r="A2204" t="str">
            <v>44182405</v>
          </cell>
          <cell r="B2204">
            <v>27</v>
          </cell>
        </row>
        <row r="2205">
          <cell r="A2205" t="str">
            <v>44202917</v>
          </cell>
          <cell r="B2205">
            <v>1</v>
          </cell>
        </row>
        <row r="2206">
          <cell r="A2206" t="str">
            <v>44205309</v>
          </cell>
          <cell r="B2206">
            <v>7</v>
          </cell>
        </row>
        <row r="2207">
          <cell r="A2207" t="str">
            <v>44208056</v>
          </cell>
          <cell r="B2207">
            <v>7</v>
          </cell>
        </row>
        <row r="2208">
          <cell r="A2208" t="str">
            <v>44213436</v>
          </cell>
          <cell r="B2208">
            <v>28</v>
          </cell>
        </row>
        <row r="2209">
          <cell r="A2209" t="str">
            <v>44218789</v>
          </cell>
          <cell r="B2209">
            <v>12</v>
          </cell>
        </row>
        <row r="2210">
          <cell r="A2210" t="str">
            <v>44223587</v>
          </cell>
          <cell r="B2210">
            <v>9</v>
          </cell>
        </row>
        <row r="2211">
          <cell r="A2211" t="str">
            <v>44226666</v>
          </cell>
          <cell r="B2211">
            <v>4</v>
          </cell>
        </row>
        <row r="2212">
          <cell r="A2212" t="str">
            <v>44231517</v>
          </cell>
          <cell r="B2212">
            <v>5</v>
          </cell>
        </row>
        <row r="2213">
          <cell r="A2213" t="str">
            <v>44234083</v>
          </cell>
          <cell r="B2213">
            <v>3</v>
          </cell>
        </row>
        <row r="2214">
          <cell r="A2214" t="str">
            <v>44235793</v>
          </cell>
          <cell r="B2214">
            <v>3</v>
          </cell>
        </row>
        <row r="2215">
          <cell r="A2215" t="str">
            <v>44236704</v>
          </cell>
          <cell r="B2215">
            <v>4</v>
          </cell>
        </row>
        <row r="2216">
          <cell r="A2216" t="str">
            <v>44239663</v>
          </cell>
          <cell r="B2216">
            <v>6</v>
          </cell>
        </row>
        <row r="2217">
          <cell r="A2217" t="str">
            <v>44241220</v>
          </cell>
          <cell r="B2217">
            <v>2</v>
          </cell>
        </row>
        <row r="2218">
          <cell r="A2218" t="str">
            <v>44244397</v>
          </cell>
          <cell r="B2218">
            <v>1</v>
          </cell>
        </row>
        <row r="2219">
          <cell r="A2219" t="str">
            <v>44251267</v>
          </cell>
          <cell r="B2219">
            <v>3</v>
          </cell>
        </row>
        <row r="2220">
          <cell r="A2220" t="str">
            <v>44254123</v>
          </cell>
          <cell r="B2220">
            <v>7</v>
          </cell>
        </row>
        <row r="2221">
          <cell r="A2221" t="str">
            <v>44254829</v>
          </cell>
          <cell r="B2221">
            <v>11</v>
          </cell>
        </row>
        <row r="2222">
          <cell r="A2222" t="str">
            <v>44259143</v>
          </cell>
          <cell r="B2222">
            <v>5</v>
          </cell>
        </row>
        <row r="2223">
          <cell r="A2223" t="str">
            <v>44262717</v>
          </cell>
          <cell r="B2223">
            <v>50</v>
          </cell>
        </row>
        <row r="2224">
          <cell r="A2224" t="str">
            <v>44266640</v>
          </cell>
          <cell r="B2224">
            <v>28</v>
          </cell>
        </row>
        <row r="2225">
          <cell r="A2225" t="str">
            <v>44273857</v>
          </cell>
          <cell r="B2225">
            <v>54</v>
          </cell>
        </row>
        <row r="2226">
          <cell r="A2226" t="str">
            <v>44274360</v>
          </cell>
          <cell r="B2226">
            <v>7</v>
          </cell>
        </row>
        <row r="2227">
          <cell r="A2227" t="str">
            <v>44277269</v>
          </cell>
          <cell r="B2227">
            <v>6</v>
          </cell>
        </row>
        <row r="2228">
          <cell r="A2228" t="str">
            <v>44278797</v>
          </cell>
          <cell r="B2228">
            <v>32</v>
          </cell>
        </row>
        <row r="2229">
          <cell r="A2229" t="str">
            <v>44280249</v>
          </cell>
          <cell r="B2229">
            <v>6</v>
          </cell>
        </row>
        <row r="2230">
          <cell r="A2230" t="str">
            <v>44289407</v>
          </cell>
          <cell r="B2230">
            <v>2</v>
          </cell>
        </row>
        <row r="2231">
          <cell r="A2231" t="str">
            <v>44290397</v>
          </cell>
          <cell r="B2231">
            <v>1</v>
          </cell>
        </row>
        <row r="2232">
          <cell r="A2232" t="str">
            <v>44302337</v>
          </cell>
          <cell r="B2232">
            <v>12</v>
          </cell>
        </row>
        <row r="2233">
          <cell r="A2233" t="str">
            <v>44302722</v>
          </cell>
          <cell r="B2233">
            <v>45</v>
          </cell>
        </row>
        <row r="2234">
          <cell r="A2234" t="str">
            <v>44302931</v>
          </cell>
          <cell r="B2234">
            <v>9</v>
          </cell>
        </row>
        <row r="2235">
          <cell r="A2235" t="str">
            <v>44305652</v>
          </cell>
          <cell r="B2235">
            <v>1</v>
          </cell>
        </row>
        <row r="2236">
          <cell r="A2236" t="str">
            <v>44305657</v>
          </cell>
          <cell r="B2236">
            <v>14</v>
          </cell>
        </row>
        <row r="2237">
          <cell r="A2237" t="str">
            <v>44312533</v>
          </cell>
          <cell r="B2237">
            <v>7</v>
          </cell>
        </row>
        <row r="2238">
          <cell r="A2238" t="str">
            <v>44316500</v>
          </cell>
          <cell r="B2238">
            <v>5</v>
          </cell>
        </row>
        <row r="2239">
          <cell r="A2239" t="str">
            <v>44318950</v>
          </cell>
          <cell r="B2239">
            <v>3</v>
          </cell>
        </row>
        <row r="2240">
          <cell r="A2240" t="str">
            <v>44322296</v>
          </cell>
          <cell r="B2240">
            <v>10</v>
          </cell>
        </row>
        <row r="2241">
          <cell r="A2241" t="str">
            <v>44327599</v>
          </cell>
          <cell r="B2241">
            <v>8</v>
          </cell>
        </row>
        <row r="2242">
          <cell r="A2242" t="str">
            <v>44337556</v>
          </cell>
          <cell r="B2242">
            <v>6</v>
          </cell>
        </row>
        <row r="2243">
          <cell r="A2243" t="str">
            <v>44338178</v>
          </cell>
          <cell r="B2243">
            <v>6</v>
          </cell>
        </row>
        <row r="2244">
          <cell r="A2244" t="str">
            <v>44345197</v>
          </cell>
          <cell r="B2244">
            <v>1</v>
          </cell>
        </row>
        <row r="2245">
          <cell r="A2245" t="str">
            <v>44353901</v>
          </cell>
          <cell r="B2245">
            <v>1</v>
          </cell>
        </row>
        <row r="2246">
          <cell r="A2246" t="str">
            <v>44354027</v>
          </cell>
          <cell r="B2246">
            <v>6</v>
          </cell>
        </row>
        <row r="2247">
          <cell r="A2247" t="str">
            <v>44360451</v>
          </cell>
          <cell r="B2247">
            <v>65</v>
          </cell>
        </row>
        <row r="2248">
          <cell r="A2248" t="str">
            <v>44360684</v>
          </cell>
          <cell r="B2248">
            <v>7</v>
          </cell>
        </row>
        <row r="2249">
          <cell r="A2249" t="str">
            <v>44360979</v>
          </cell>
          <cell r="B2249">
            <v>3</v>
          </cell>
        </row>
        <row r="2250">
          <cell r="A2250" t="str">
            <v>44373700</v>
          </cell>
          <cell r="B2250">
            <v>4</v>
          </cell>
        </row>
        <row r="2251">
          <cell r="A2251" t="str">
            <v>44374029</v>
          </cell>
          <cell r="B2251">
            <v>2</v>
          </cell>
        </row>
        <row r="2252">
          <cell r="A2252" t="str">
            <v>44374608</v>
          </cell>
          <cell r="B2252">
            <v>1</v>
          </cell>
        </row>
        <row r="2253">
          <cell r="A2253" t="str">
            <v>44375702</v>
          </cell>
          <cell r="B2253">
            <v>1</v>
          </cell>
        </row>
        <row r="2254">
          <cell r="A2254" t="str">
            <v>44383981</v>
          </cell>
          <cell r="B2254">
            <v>53</v>
          </cell>
        </row>
        <row r="2255">
          <cell r="A2255" t="str">
            <v>44384032</v>
          </cell>
          <cell r="B2255">
            <v>25</v>
          </cell>
        </row>
        <row r="2256">
          <cell r="A2256" t="str">
            <v>44388138</v>
          </cell>
          <cell r="B2256">
            <v>43</v>
          </cell>
        </row>
        <row r="2257">
          <cell r="A2257" t="str">
            <v>44390367</v>
          </cell>
          <cell r="B2257">
            <v>20</v>
          </cell>
        </row>
        <row r="2258">
          <cell r="A2258" t="str">
            <v>44393756</v>
          </cell>
          <cell r="B2258">
            <v>2</v>
          </cell>
        </row>
        <row r="2259">
          <cell r="A2259" t="str">
            <v>44393779</v>
          </cell>
          <cell r="B2259">
            <v>4</v>
          </cell>
        </row>
        <row r="2260">
          <cell r="A2260" t="str">
            <v>44396510</v>
          </cell>
          <cell r="B2260">
            <v>12</v>
          </cell>
        </row>
        <row r="2261">
          <cell r="A2261" t="str">
            <v>44396753</v>
          </cell>
          <cell r="B2261">
            <v>1</v>
          </cell>
        </row>
        <row r="2262">
          <cell r="A2262" t="str">
            <v>44400589</v>
          </cell>
          <cell r="B2262">
            <v>1</v>
          </cell>
        </row>
        <row r="2263">
          <cell r="A2263" t="str">
            <v>44409504</v>
          </cell>
          <cell r="B2263">
            <v>11</v>
          </cell>
        </row>
        <row r="2264">
          <cell r="A2264" t="str">
            <v>44409525</v>
          </cell>
          <cell r="B2264">
            <v>3</v>
          </cell>
        </row>
        <row r="2265">
          <cell r="A2265" t="str">
            <v>44409840</v>
          </cell>
          <cell r="B2265">
            <v>11</v>
          </cell>
        </row>
        <row r="2266">
          <cell r="A2266" t="str">
            <v>44409893</v>
          </cell>
          <cell r="B2266">
            <v>6</v>
          </cell>
        </row>
        <row r="2267">
          <cell r="A2267" t="str">
            <v>44415613</v>
          </cell>
          <cell r="B2267">
            <v>4</v>
          </cell>
        </row>
        <row r="2268">
          <cell r="A2268" t="str">
            <v>44420082</v>
          </cell>
          <cell r="B2268">
            <v>5</v>
          </cell>
        </row>
        <row r="2269">
          <cell r="A2269" t="str">
            <v>44420244</v>
          </cell>
          <cell r="B2269">
            <v>10</v>
          </cell>
        </row>
        <row r="2270">
          <cell r="A2270" t="str">
            <v>44422953</v>
          </cell>
          <cell r="B2270">
            <v>1</v>
          </cell>
        </row>
        <row r="2271">
          <cell r="A2271" t="str">
            <v>44425033</v>
          </cell>
          <cell r="B2271">
            <v>8</v>
          </cell>
        </row>
        <row r="2272">
          <cell r="A2272" t="str">
            <v>44426517</v>
          </cell>
          <cell r="B2272">
            <v>1</v>
          </cell>
        </row>
        <row r="2273">
          <cell r="A2273" t="str">
            <v>44431297</v>
          </cell>
          <cell r="B2273">
            <v>10</v>
          </cell>
        </row>
        <row r="2274">
          <cell r="A2274" t="str">
            <v>44433431</v>
          </cell>
          <cell r="B2274">
            <v>11</v>
          </cell>
        </row>
        <row r="2275">
          <cell r="A2275" t="str">
            <v>44434404</v>
          </cell>
          <cell r="B2275">
            <v>9</v>
          </cell>
        </row>
        <row r="2276">
          <cell r="A2276" t="str">
            <v>44440159</v>
          </cell>
          <cell r="B2276">
            <v>6</v>
          </cell>
        </row>
        <row r="2277">
          <cell r="A2277" t="str">
            <v>44445491</v>
          </cell>
          <cell r="B2277">
            <v>5</v>
          </cell>
        </row>
        <row r="2278">
          <cell r="A2278" t="str">
            <v>44446028</v>
          </cell>
          <cell r="B2278">
            <v>2</v>
          </cell>
        </row>
        <row r="2279">
          <cell r="A2279" t="str">
            <v>44447979</v>
          </cell>
          <cell r="B2279">
            <v>1</v>
          </cell>
        </row>
        <row r="2280">
          <cell r="A2280" t="str">
            <v>44459599</v>
          </cell>
          <cell r="B2280">
            <v>11</v>
          </cell>
        </row>
        <row r="2281">
          <cell r="A2281" t="str">
            <v>44461957</v>
          </cell>
          <cell r="B2281">
            <v>1</v>
          </cell>
        </row>
        <row r="2282">
          <cell r="A2282" t="str">
            <v>44462419</v>
          </cell>
          <cell r="B2282">
            <v>2</v>
          </cell>
        </row>
        <row r="2283">
          <cell r="A2283" t="str">
            <v>44464561</v>
          </cell>
          <cell r="B2283">
            <v>19</v>
          </cell>
        </row>
        <row r="2284">
          <cell r="A2284" t="str">
            <v>44466996</v>
          </cell>
          <cell r="B2284">
            <v>2</v>
          </cell>
        </row>
        <row r="2285">
          <cell r="A2285" t="str">
            <v>44475594</v>
          </cell>
          <cell r="B2285">
            <v>4</v>
          </cell>
        </row>
        <row r="2286">
          <cell r="A2286" t="str">
            <v>44480372</v>
          </cell>
          <cell r="B2286">
            <v>25</v>
          </cell>
        </row>
        <row r="2287">
          <cell r="A2287" t="str">
            <v>44483219</v>
          </cell>
          <cell r="B2287">
            <v>3</v>
          </cell>
        </row>
        <row r="2288">
          <cell r="A2288" t="str">
            <v>44486244</v>
          </cell>
          <cell r="B2288">
            <v>1</v>
          </cell>
        </row>
        <row r="2289">
          <cell r="A2289" t="str">
            <v>44489686</v>
          </cell>
          <cell r="B2289">
            <v>5</v>
          </cell>
        </row>
        <row r="2290">
          <cell r="A2290" t="str">
            <v>44493242</v>
          </cell>
          <cell r="B2290">
            <v>48</v>
          </cell>
        </row>
        <row r="2291">
          <cell r="A2291" t="str">
            <v>44493432</v>
          </cell>
          <cell r="B2291">
            <v>4</v>
          </cell>
        </row>
        <row r="2292">
          <cell r="A2292" t="str">
            <v>44494113</v>
          </cell>
          <cell r="B2292">
            <v>3</v>
          </cell>
        </row>
        <row r="2293">
          <cell r="A2293" t="str">
            <v>44507481</v>
          </cell>
          <cell r="B2293">
            <v>8</v>
          </cell>
        </row>
        <row r="2294">
          <cell r="A2294" t="str">
            <v>44510046</v>
          </cell>
          <cell r="B2294">
            <v>12</v>
          </cell>
        </row>
        <row r="2295">
          <cell r="A2295" t="str">
            <v>44515922</v>
          </cell>
          <cell r="B2295">
            <v>13</v>
          </cell>
        </row>
        <row r="2296">
          <cell r="A2296" t="str">
            <v>44517688</v>
          </cell>
          <cell r="B2296">
            <v>3</v>
          </cell>
        </row>
        <row r="2297">
          <cell r="A2297" t="str">
            <v>44521468</v>
          </cell>
          <cell r="B2297">
            <v>8</v>
          </cell>
        </row>
        <row r="2298">
          <cell r="A2298" t="str">
            <v>44522391</v>
          </cell>
          <cell r="B2298">
            <v>3</v>
          </cell>
        </row>
        <row r="2299">
          <cell r="A2299" t="str">
            <v>44526260</v>
          </cell>
          <cell r="B2299">
            <v>105</v>
          </cell>
        </row>
        <row r="2300">
          <cell r="A2300" t="str">
            <v>44526552</v>
          </cell>
          <cell r="B2300">
            <v>3</v>
          </cell>
        </row>
        <row r="2301">
          <cell r="A2301" t="str">
            <v>44531044</v>
          </cell>
          <cell r="B2301">
            <v>37</v>
          </cell>
        </row>
        <row r="2302">
          <cell r="A2302" t="str">
            <v>44531704</v>
          </cell>
          <cell r="B2302">
            <v>24</v>
          </cell>
        </row>
        <row r="2303">
          <cell r="A2303" t="str">
            <v>44531847</v>
          </cell>
          <cell r="B2303">
            <v>5</v>
          </cell>
        </row>
        <row r="2304">
          <cell r="A2304" t="str">
            <v>44535925</v>
          </cell>
          <cell r="B2304">
            <v>24</v>
          </cell>
        </row>
        <row r="2305">
          <cell r="A2305" t="str">
            <v>44537430</v>
          </cell>
          <cell r="B2305">
            <v>4</v>
          </cell>
        </row>
        <row r="2306">
          <cell r="A2306" t="str">
            <v>44540486</v>
          </cell>
          <cell r="B2306">
            <v>4</v>
          </cell>
        </row>
        <row r="2307">
          <cell r="A2307" t="str">
            <v>44540534</v>
          </cell>
          <cell r="B2307">
            <v>14</v>
          </cell>
        </row>
        <row r="2308">
          <cell r="A2308" t="str">
            <v>44543530</v>
          </cell>
          <cell r="B2308">
            <v>33</v>
          </cell>
        </row>
        <row r="2309">
          <cell r="A2309" t="str">
            <v>44544790</v>
          </cell>
          <cell r="B2309">
            <v>12</v>
          </cell>
        </row>
        <row r="2310">
          <cell r="A2310" t="str">
            <v>44547198</v>
          </cell>
          <cell r="B2310">
            <v>1</v>
          </cell>
        </row>
        <row r="2311">
          <cell r="A2311" t="str">
            <v>44548171</v>
          </cell>
          <cell r="B2311">
            <v>30</v>
          </cell>
        </row>
        <row r="2312">
          <cell r="A2312" t="str">
            <v>44552665</v>
          </cell>
          <cell r="B2312">
            <v>1</v>
          </cell>
        </row>
        <row r="2313">
          <cell r="A2313" t="str">
            <v>44556978</v>
          </cell>
          <cell r="B2313">
            <v>2</v>
          </cell>
        </row>
        <row r="2314">
          <cell r="A2314" t="str">
            <v>44557208</v>
          </cell>
          <cell r="B2314">
            <v>3</v>
          </cell>
        </row>
        <row r="2315">
          <cell r="A2315" t="str">
            <v>44557485</v>
          </cell>
          <cell r="B2315">
            <v>11</v>
          </cell>
        </row>
        <row r="2316">
          <cell r="A2316" t="str">
            <v>44559225</v>
          </cell>
          <cell r="B2316">
            <v>2</v>
          </cell>
        </row>
        <row r="2317">
          <cell r="A2317" t="str">
            <v>44561306</v>
          </cell>
          <cell r="B2317">
            <v>1</v>
          </cell>
        </row>
        <row r="2318">
          <cell r="A2318" t="str">
            <v>44564943</v>
          </cell>
          <cell r="B2318">
            <v>13</v>
          </cell>
        </row>
        <row r="2319">
          <cell r="A2319" t="str">
            <v>44565058</v>
          </cell>
          <cell r="B2319">
            <v>1</v>
          </cell>
        </row>
        <row r="2320">
          <cell r="A2320" t="str">
            <v>44567308</v>
          </cell>
          <cell r="B2320">
            <v>27</v>
          </cell>
        </row>
        <row r="2321">
          <cell r="A2321" t="str">
            <v>44567516</v>
          </cell>
          <cell r="B2321">
            <v>3</v>
          </cell>
        </row>
        <row r="2322">
          <cell r="A2322" t="str">
            <v>44574916</v>
          </cell>
          <cell r="B2322">
            <v>19</v>
          </cell>
        </row>
        <row r="2323">
          <cell r="A2323" t="str">
            <v>44576483</v>
          </cell>
          <cell r="B2323">
            <v>10</v>
          </cell>
        </row>
        <row r="2324">
          <cell r="A2324" t="str">
            <v>44585688</v>
          </cell>
          <cell r="B2324">
            <v>4</v>
          </cell>
        </row>
        <row r="2325">
          <cell r="A2325" t="str">
            <v>44595089</v>
          </cell>
          <cell r="B2325">
            <v>8</v>
          </cell>
        </row>
        <row r="2326">
          <cell r="A2326" t="str">
            <v>44600716</v>
          </cell>
          <cell r="B2326">
            <v>9</v>
          </cell>
        </row>
        <row r="2327">
          <cell r="A2327" t="str">
            <v>44609944</v>
          </cell>
          <cell r="B2327">
            <v>15</v>
          </cell>
        </row>
        <row r="2328">
          <cell r="A2328" t="str">
            <v>44614943</v>
          </cell>
          <cell r="B2328">
            <v>2</v>
          </cell>
        </row>
        <row r="2329">
          <cell r="A2329" t="str">
            <v>44616155</v>
          </cell>
          <cell r="B2329">
            <v>7</v>
          </cell>
        </row>
        <row r="2330">
          <cell r="A2330" t="str">
            <v>44617348</v>
          </cell>
          <cell r="B2330">
            <v>22</v>
          </cell>
        </row>
        <row r="2331">
          <cell r="A2331" t="str">
            <v>44627607</v>
          </cell>
          <cell r="B2331">
            <v>8</v>
          </cell>
        </row>
        <row r="2332">
          <cell r="A2332" t="str">
            <v>44632409</v>
          </cell>
          <cell r="B2332">
            <v>3</v>
          </cell>
        </row>
        <row r="2333">
          <cell r="A2333" t="str">
            <v>44633646</v>
          </cell>
          <cell r="B2333">
            <v>1</v>
          </cell>
        </row>
        <row r="2334">
          <cell r="A2334" t="str">
            <v>44634251</v>
          </cell>
          <cell r="B2334">
            <v>11</v>
          </cell>
        </row>
        <row r="2335">
          <cell r="A2335" t="str">
            <v>44635738</v>
          </cell>
          <cell r="B2335">
            <v>11</v>
          </cell>
        </row>
        <row r="2336">
          <cell r="A2336" t="str">
            <v>44637629</v>
          </cell>
          <cell r="B2336">
            <v>4</v>
          </cell>
        </row>
        <row r="2337">
          <cell r="A2337" t="str">
            <v>44644174</v>
          </cell>
          <cell r="B2337">
            <v>2</v>
          </cell>
        </row>
        <row r="2338">
          <cell r="A2338" t="str">
            <v>44651281</v>
          </cell>
          <cell r="B2338">
            <v>152</v>
          </cell>
        </row>
        <row r="2339">
          <cell r="A2339" t="str">
            <v>44655984</v>
          </cell>
          <cell r="B2339">
            <v>4</v>
          </cell>
        </row>
        <row r="2340">
          <cell r="A2340" t="str">
            <v>44657386</v>
          </cell>
          <cell r="B2340">
            <v>7</v>
          </cell>
        </row>
        <row r="2341">
          <cell r="A2341" t="str">
            <v>44663260</v>
          </cell>
          <cell r="B2341">
            <v>4</v>
          </cell>
        </row>
        <row r="2342">
          <cell r="A2342" t="str">
            <v>44664457</v>
          </cell>
          <cell r="B2342">
            <v>4</v>
          </cell>
        </row>
        <row r="2343">
          <cell r="A2343" t="str">
            <v>44667202</v>
          </cell>
          <cell r="B2343">
            <v>131</v>
          </cell>
        </row>
        <row r="2344">
          <cell r="A2344" t="str">
            <v>44674679</v>
          </cell>
          <cell r="B2344">
            <v>5</v>
          </cell>
        </row>
        <row r="2345">
          <cell r="A2345" t="str">
            <v>44677242</v>
          </cell>
          <cell r="B2345">
            <v>8</v>
          </cell>
        </row>
        <row r="2346">
          <cell r="A2346" t="str">
            <v>44680808</v>
          </cell>
          <cell r="B2346">
            <v>6</v>
          </cell>
        </row>
        <row r="2347">
          <cell r="A2347" t="str">
            <v>44686225</v>
          </cell>
          <cell r="B2347">
            <v>2</v>
          </cell>
        </row>
        <row r="2348">
          <cell r="A2348" t="str">
            <v>44689901</v>
          </cell>
          <cell r="B2348">
            <v>6</v>
          </cell>
        </row>
        <row r="2349">
          <cell r="A2349" t="str">
            <v>44690006</v>
          </cell>
          <cell r="B2349">
            <v>2</v>
          </cell>
        </row>
        <row r="2350">
          <cell r="A2350" t="str">
            <v>44690471</v>
          </cell>
          <cell r="B2350">
            <v>5</v>
          </cell>
        </row>
        <row r="2351">
          <cell r="A2351" t="str">
            <v>44692061</v>
          </cell>
          <cell r="B2351">
            <v>2</v>
          </cell>
        </row>
        <row r="2352">
          <cell r="A2352" t="str">
            <v>44694436</v>
          </cell>
          <cell r="B2352">
            <v>1</v>
          </cell>
        </row>
        <row r="2353">
          <cell r="A2353" t="str">
            <v>44694733</v>
          </cell>
          <cell r="B2353">
            <v>9</v>
          </cell>
        </row>
        <row r="2354">
          <cell r="A2354" t="str">
            <v>44694951</v>
          </cell>
          <cell r="B2354">
            <v>6</v>
          </cell>
        </row>
        <row r="2355">
          <cell r="A2355" t="str">
            <v>44695507</v>
          </cell>
          <cell r="B2355">
            <v>5</v>
          </cell>
        </row>
        <row r="2356">
          <cell r="A2356" t="str">
            <v>44699453</v>
          </cell>
          <cell r="B2356">
            <v>8</v>
          </cell>
        </row>
        <row r="2357">
          <cell r="A2357" t="str">
            <v>44699825</v>
          </cell>
          <cell r="B2357">
            <v>1</v>
          </cell>
        </row>
        <row r="2358">
          <cell r="A2358" t="str">
            <v>44701001</v>
          </cell>
          <cell r="B2358">
            <v>6</v>
          </cell>
        </row>
        <row r="2359">
          <cell r="A2359" t="str">
            <v>44705354</v>
          </cell>
          <cell r="B2359">
            <v>9</v>
          </cell>
        </row>
        <row r="2360">
          <cell r="A2360" t="str">
            <v>44706028</v>
          </cell>
          <cell r="B2360">
            <v>1</v>
          </cell>
        </row>
        <row r="2361">
          <cell r="A2361" t="str">
            <v>44709508</v>
          </cell>
          <cell r="B2361">
            <v>2</v>
          </cell>
        </row>
        <row r="2362">
          <cell r="A2362" t="str">
            <v>44709777</v>
          </cell>
          <cell r="B2362">
            <v>5</v>
          </cell>
        </row>
        <row r="2363">
          <cell r="A2363" t="str">
            <v>44709909</v>
          </cell>
          <cell r="B2363">
            <v>11</v>
          </cell>
        </row>
        <row r="2364">
          <cell r="A2364" t="str">
            <v>44714010</v>
          </cell>
          <cell r="B2364">
            <v>1</v>
          </cell>
        </row>
        <row r="2365">
          <cell r="A2365" t="str">
            <v>44721864</v>
          </cell>
          <cell r="B2365">
            <v>1</v>
          </cell>
        </row>
        <row r="2366">
          <cell r="A2366" t="str">
            <v>44722993</v>
          </cell>
          <cell r="B2366">
            <v>6</v>
          </cell>
        </row>
        <row r="2367">
          <cell r="A2367" t="str">
            <v>44723350</v>
          </cell>
          <cell r="B2367">
            <v>24</v>
          </cell>
        </row>
        <row r="2368">
          <cell r="A2368" t="str">
            <v>44728267</v>
          </cell>
          <cell r="B2368">
            <v>5</v>
          </cell>
        </row>
        <row r="2369">
          <cell r="A2369" t="str">
            <v>44731436</v>
          </cell>
          <cell r="B2369">
            <v>18</v>
          </cell>
        </row>
        <row r="2370">
          <cell r="A2370" t="str">
            <v>44740590</v>
          </cell>
          <cell r="B2370">
            <v>4</v>
          </cell>
        </row>
        <row r="2371">
          <cell r="A2371" t="str">
            <v>44745787</v>
          </cell>
          <cell r="B2371">
            <v>72</v>
          </cell>
        </row>
        <row r="2372">
          <cell r="A2372" t="str">
            <v>44751266</v>
          </cell>
          <cell r="B2372">
            <v>2</v>
          </cell>
        </row>
        <row r="2373">
          <cell r="A2373" t="str">
            <v>44751892</v>
          </cell>
          <cell r="B2373">
            <v>6</v>
          </cell>
        </row>
        <row r="2374">
          <cell r="A2374" t="str">
            <v>44760543</v>
          </cell>
          <cell r="B2374">
            <v>6</v>
          </cell>
        </row>
        <row r="2375">
          <cell r="A2375" t="str">
            <v>44763214</v>
          </cell>
          <cell r="B2375">
            <v>9</v>
          </cell>
        </row>
        <row r="2376">
          <cell r="A2376" t="str">
            <v>44766689</v>
          </cell>
          <cell r="B2376">
            <v>3</v>
          </cell>
        </row>
        <row r="2377">
          <cell r="A2377" t="str">
            <v>44772996</v>
          </cell>
          <cell r="B2377">
            <v>8</v>
          </cell>
        </row>
        <row r="2378">
          <cell r="A2378" t="str">
            <v>44776166</v>
          </cell>
          <cell r="B2378">
            <v>1</v>
          </cell>
        </row>
        <row r="2379">
          <cell r="A2379" t="str">
            <v>44776604</v>
          </cell>
          <cell r="B2379">
            <v>5</v>
          </cell>
        </row>
        <row r="2380">
          <cell r="A2380" t="str">
            <v>44779732</v>
          </cell>
          <cell r="B2380">
            <v>52</v>
          </cell>
        </row>
        <row r="2381">
          <cell r="A2381" t="str">
            <v>44781265</v>
          </cell>
          <cell r="B2381">
            <v>40</v>
          </cell>
        </row>
        <row r="2382">
          <cell r="A2382" t="str">
            <v>44788622</v>
          </cell>
          <cell r="B2382">
            <v>15</v>
          </cell>
        </row>
        <row r="2383">
          <cell r="A2383" t="str">
            <v>44798211</v>
          </cell>
          <cell r="B2383">
            <v>24</v>
          </cell>
        </row>
        <row r="2384">
          <cell r="A2384" t="str">
            <v>44804039</v>
          </cell>
          <cell r="B2384">
            <v>9</v>
          </cell>
        </row>
        <row r="2385">
          <cell r="A2385" t="str">
            <v>44805357</v>
          </cell>
          <cell r="B2385">
            <v>4</v>
          </cell>
        </row>
        <row r="2386">
          <cell r="A2386" t="str">
            <v>44808494</v>
          </cell>
          <cell r="B2386">
            <v>7</v>
          </cell>
        </row>
        <row r="2387">
          <cell r="A2387" t="str">
            <v>44809836</v>
          </cell>
          <cell r="B2387">
            <v>3</v>
          </cell>
        </row>
        <row r="2388">
          <cell r="A2388" t="str">
            <v>44812425</v>
          </cell>
          <cell r="B2388">
            <v>13</v>
          </cell>
        </row>
        <row r="2389">
          <cell r="A2389" t="str">
            <v>44813265</v>
          </cell>
          <cell r="B2389">
            <v>6</v>
          </cell>
        </row>
        <row r="2390">
          <cell r="A2390" t="str">
            <v>44813595</v>
          </cell>
          <cell r="B2390">
            <v>7</v>
          </cell>
        </row>
        <row r="2391">
          <cell r="A2391" t="str">
            <v>44816066</v>
          </cell>
          <cell r="B2391">
            <v>14</v>
          </cell>
        </row>
        <row r="2392">
          <cell r="A2392" t="str">
            <v>44817814</v>
          </cell>
          <cell r="B2392">
            <v>11</v>
          </cell>
        </row>
        <row r="2393">
          <cell r="A2393" t="str">
            <v>44819562</v>
          </cell>
          <cell r="B2393">
            <v>8</v>
          </cell>
        </row>
        <row r="2394">
          <cell r="A2394" t="str">
            <v>44823990</v>
          </cell>
          <cell r="B2394">
            <v>11</v>
          </cell>
        </row>
        <row r="2395">
          <cell r="A2395" t="str">
            <v>44830966</v>
          </cell>
          <cell r="B2395">
            <v>11</v>
          </cell>
        </row>
        <row r="2396">
          <cell r="A2396" t="str">
            <v>44838144</v>
          </cell>
          <cell r="B2396">
            <v>2</v>
          </cell>
        </row>
        <row r="2397">
          <cell r="A2397" t="str">
            <v>44839133</v>
          </cell>
          <cell r="B2397">
            <v>5</v>
          </cell>
        </row>
        <row r="2398">
          <cell r="A2398" t="str">
            <v>44843564</v>
          </cell>
          <cell r="B2398">
            <v>4</v>
          </cell>
        </row>
        <row r="2399">
          <cell r="A2399" t="str">
            <v>44847386</v>
          </cell>
          <cell r="B2399">
            <v>4</v>
          </cell>
        </row>
        <row r="2400">
          <cell r="A2400" t="str">
            <v>44850798</v>
          </cell>
          <cell r="B2400">
            <v>4</v>
          </cell>
        </row>
        <row r="2401">
          <cell r="A2401" t="str">
            <v>44856591</v>
          </cell>
          <cell r="B2401">
            <v>19</v>
          </cell>
        </row>
        <row r="2402">
          <cell r="A2402" t="str">
            <v>44856776</v>
          </cell>
          <cell r="B2402">
            <v>2</v>
          </cell>
        </row>
        <row r="2403">
          <cell r="A2403" t="str">
            <v>44857475</v>
          </cell>
          <cell r="B2403">
            <v>4</v>
          </cell>
        </row>
        <row r="2404">
          <cell r="A2404" t="str">
            <v>44860997</v>
          </cell>
          <cell r="B2404">
            <v>5</v>
          </cell>
        </row>
        <row r="2405">
          <cell r="A2405" t="str">
            <v>44863470</v>
          </cell>
          <cell r="B2405">
            <v>37</v>
          </cell>
        </row>
        <row r="2406">
          <cell r="A2406" t="str">
            <v>44879165</v>
          </cell>
          <cell r="B2406">
            <v>3</v>
          </cell>
        </row>
        <row r="2407">
          <cell r="A2407" t="str">
            <v>44879286</v>
          </cell>
          <cell r="B2407">
            <v>2</v>
          </cell>
        </row>
        <row r="2408">
          <cell r="A2408" t="str">
            <v>44879990</v>
          </cell>
          <cell r="B2408">
            <v>7</v>
          </cell>
        </row>
        <row r="2409">
          <cell r="A2409" t="str">
            <v>44888618</v>
          </cell>
          <cell r="B2409">
            <v>1</v>
          </cell>
        </row>
        <row r="2410">
          <cell r="A2410" t="str">
            <v>44894330</v>
          </cell>
          <cell r="B2410">
            <v>20</v>
          </cell>
        </row>
        <row r="2411">
          <cell r="A2411" t="str">
            <v>44899244</v>
          </cell>
          <cell r="B2411">
            <v>10</v>
          </cell>
        </row>
        <row r="2412">
          <cell r="A2412" t="str">
            <v>44909042</v>
          </cell>
          <cell r="B2412">
            <v>4</v>
          </cell>
        </row>
        <row r="2413">
          <cell r="A2413" t="str">
            <v>44912394</v>
          </cell>
          <cell r="B2413">
            <v>6</v>
          </cell>
        </row>
        <row r="2414">
          <cell r="A2414" t="str">
            <v>44912433</v>
          </cell>
          <cell r="B2414">
            <v>8</v>
          </cell>
        </row>
        <row r="2415">
          <cell r="A2415" t="str">
            <v>44918482</v>
          </cell>
          <cell r="B2415">
            <v>2</v>
          </cell>
        </row>
        <row r="2416">
          <cell r="A2416" t="str">
            <v>44921978</v>
          </cell>
          <cell r="B2416">
            <v>1</v>
          </cell>
        </row>
        <row r="2417">
          <cell r="A2417" t="str">
            <v>44927166</v>
          </cell>
          <cell r="B2417">
            <v>19</v>
          </cell>
        </row>
        <row r="2418">
          <cell r="A2418" t="str">
            <v>44929866</v>
          </cell>
          <cell r="B2418">
            <v>27</v>
          </cell>
        </row>
        <row r="2419">
          <cell r="A2419" t="str">
            <v>44929977</v>
          </cell>
          <cell r="B2419">
            <v>8</v>
          </cell>
        </row>
        <row r="2420">
          <cell r="A2420" t="str">
            <v>44934093</v>
          </cell>
          <cell r="B2420">
            <v>2</v>
          </cell>
        </row>
        <row r="2421">
          <cell r="A2421" t="str">
            <v>44936864</v>
          </cell>
          <cell r="B2421">
            <v>29</v>
          </cell>
        </row>
        <row r="2422">
          <cell r="A2422" t="str">
            <v>44938112</v>
          </cell>
          <cell r="B2422">
            <v>3</v>
          </cell>
        </row>
        <row r="2423">
          <cell r="A2423" t="str">
            <v>44938418</v>
          </cell>
          <cell r="B2423">
            <v>1</v>
          </cell>
        </row>
        <row r="2424">
          <cell r="A2424" t="str">
            <v>44942469</v>
          </cell>
          <cell r="B2424">
            <v>3</v>
          </cell>
        </row>
        <row r="2425">
          <cell r="A2425" t="str">
            <v>44945857</v>
          </cell>
          <cell r="B2425">
            <v>1</v>
          </cell>
        </row>
        <row r="2426">
          <cell r="A2426" t="str">
            <v>44946693</v>
          </cell>
          <cell r="B2426">
            <v>3</v>
          </cell>
        </row>
        <row r="2427">
          <cell r="A2427" t="str">
            <v>44949831</v>
          </cell>
          <cell r="B2427">
            <v>51</v>
          </cell>
        </row>
        <row r="2428">
          <cell r="A2428" t="str">
            <v>44950620</v>
          </cell>
          <cell r="B2428">
            <v>11</v>
          </cell>
        </row>
        <row r="2429">
          <cell r="A2429" t="str">
            <v>44957997</v>
          </cell>
          <cell r="B2429">
            <v>7</v>
          </cell>
        </row>
        <row r="2430">
          <cell r="A2430" t="str">
            <v>44960670</v>
          </cell>
          <cell r="B2430">
            <v>2</v>
          </cell>
        </row>
        <row r="2431">
          <cell r="A2431" t="str">
            <v>44960671</v>
          </cell>
          <cell r="B2431">
            <v>6</v>
          </cell>
        </row>
        <row r="2432">
          <cell r="A2432" t="str">
            <v>44963831</v>
          </cell>
          <cell r="B2432">
            <v>3</v>
          </cell>
        </row>
        <row r="2433">
          <cell r="A2433" t="str">
            <v>44965328</v>
          </cell>
          <cell r="B2433">
            <v>5</v>
          </cell>
        </row>
        <row r="2434">
          <cell r="A2434" t="str">
            <v>44969269</v>
          </cell>
          <cell r="B2434">
            <v>1</v>
          </cell>
        </row>
        <row r="2435">
          <cell r="A2435" t="str">
            <v>44972345</v>
          </cell>
          <cell r="B2435">
            <v>5</v>
          </cell>
        </row>
        <row r="2436">
          <cell r="A2436" t="str">
            <v>44972560</v>
          </cell>
          <cell r="B2436">
            <v>51</v>
          </cell>
        </row>
        <row r="2437">
          <cell r="A2437" t="str">
            <v>44974522</v>
          </cell>
          <cell r="B2437">
            <v>11</v>
          </cell>
        </row>
        <row r="2438">
          <cell r="A2438" t="str">
            <v>44977882</v>
          </cell>
          <cell r="B2438">
            <v>9</v>
          </cell>
        </row>
        <row r="2439">
          <cell r="A2439" t="str">
            <v>44995854</v>
          </cell>
          <cell r="B2439">
            <v>18</v>
          </cell>
        </row>
        <row r="2440">
          <cell r="A2440" t="str">
            <v>44996818</v>
          </cell>
          <cell r="B2440">
            <v>3</v>
          </cell>
        </row>
        <row r="2441">
          <cell r="A2441" t="str">
            <v>44998242</v>
          </cell>
          <cell r="B2441">
            <v>5</v>
          </cell>
        </row>
        <row r="2442">
          <cell r="A2442" t="str">
            <v>44999880</v>
          </cell>
          <cell r="B2442">
            <v>15</v>
          </cell>
        </row>
        <row r="2443">
          <cell r="A2443" t="str">
            <v>45000544</v>
          </cell>
          <cell r="B2443">
            <v>3</v>
          </cell>
        </row>
        <row r="2444">
          <cell r="A2444" t="str">
            <v>45001363</v>
          </cell>
          <cell r="B2444">
            <v>4</v>
          </cell>
        </row>
        <row r="2445">
          <cell r="A2445" t="str">
            <v>45005547</v>
          </cell>
          <cell r="B2445">
            <v>22</v>
          </cell>
        </row>
        <row r="2446">
          <cell r="A2446" t="str">
            <v>45011332</v>
          </cell>
          <cell r="B2446">
            <v>87</v>
          </cell>
        </row>
        <row r="2447">
          <cell r="A2447" t="str">
            <v>45014089</v>
          </cell>
          <cell r="B2447">
            <v>6</v>
          </cell>
        </row>
        <row r="2448">
          <cell r="A2448" t="str">
            <v>45017271</v>
          </cell>
          <cell r="B2448">
            <v>4</v>
          </cell>
        </row>
        <row r="2449">
          <cell r="A2449" t="str">
            <v>45019257</v>
          </cell>
          <cell r="B2449">
            <v>9</v>
          </cell>
        </row>
        <row r="2450">
          <cell r="A2450" t="str">
            <v>45025426</v>
          </cell>
          <cell r="B2450">
            <v>1</v>
          </cell>
        </row>
        <row r="2451">
          <cell r="A2451" t="str">
            <v>45038863</v>
          </cell>
          <cell r="B2451">
            <v>4</v>
          </cell>
        </row>
        <row r="2452">
          <cell r="A2452" t="str">
            <v>45050872</v>
          </cell>
          <cell r="B2452">
            <v>8</v>
          </cell>
        </row>
        <row r="2453">
          <cell r="A2453" t="str">
            <v>45057232</v>
          </cell>
          <cell r="B2453">
            <v>3</v>
          </cell>
        </row>
        <row r="2454">
          <cell r="A2454" t="str">
            <v>45057894</v>
          </cell>
          <cell r="B2454">
            <v>10</v>
          </cell>
        </row>
        <row r="2455">
          <cell r="A2455" t="str">
            <v>45061899</v>
          </cell>
          <cell r="B2455">
            <v>24</v>
          </cell>
        </row>
        <row r="2456">
          <cell r="A2456" t="str">
            <v>45065963</v>
          </cell>
          <cell r="B2456">
            <v>3</v>
          </cell>
        </row>
        <row r="2457">
          <cell r="A2457" t="str">
            <v>45068106</v>
          </cell>
          <cell r="B2457">
            <v>8</v>
          </cell>
        </row>
        <row r="2458">
          <cell r="A2458" t="str">
            <v>45075686</v>
          </cell>
          <cell r="B2458">
            <v>1</v>
          </cell>
        </row>
        <row r="2459">
          <cell r="A2459" t="str">
            <v>45080974</v>
          </cell>
          <cell r="B2459">
            <v>4</v>
          </cell>
        </row>
        <row r="2460">
          <cell r="A2460" t="str">
            <v>45096335</v>
          </cell>
          <cell r="B2460">
            <v>44</v>
          </cell>
        </row>
        <row r="2461">
          <cell r="A2461" t="str">
            <v>45097613</v>
          </cell>
          <cell r="B2461">
            <v>7</v>
          </cell>
        </row>
        <row r="2462">
          <cell r="A2462" t="str">
            <v>45098574</v>
          </cell>
          <cell r="B2462">
            <v>18</v>
          </cell>
        </row>
        <row r="2463">
          <cell r="A2463" t="str">
            <v>45102189</v>
          </cell>
          <cell r="B2463">
            <v>42</v>
          </cell>
        </row>
        <row r="2464">
          <cell r="A2464" t="str">
            <v>45107251</v>
          </cell>
          <cell r="B2464">
            <v>3</v>
          </cell>
        </row>
        <row r="2465">
          <cell r="A2465" t="str">
            <v>45108782</v>
          </cell>
          <cell r="B2465">
            <v>12</v>
          </cell>
        </row>
        <row r="2466">
          <cell r="A2466" t="str">
            <v>45112720</v>
          </cell>
          <cell r="B2466">
            <v>48</v>
          </cell>
        </row>
        <row r="2467">
          <cell r="A2467" t="str">
            <v>45118271</v>
          </cell>
          <cell r="B2467">
            <v>2</v>
          </cell>
        </row>
        <row r="2468">
          <cell r="A2468" t="str">
            <v>45125019</v>
          </cell>
          <cell r="B2468">
            <v>16</v>
          </cell>
        </row>
        <row r="2469">
          <cell r="A2469" t="str">
            <v>45127317</v>
          </cell>
          <cell r="B2469">
            <v>12</v>
          </cell>
        </row>
        <row r="2470">
          <cell r="A2470" t="str">
            <v>45130381</v>
          </cell>
          <cell r="B2470">
            <v>22</v>
          </cell>
        </row>
        <row r="2471">
          <cell r="A2471" t="str">
            <v>45131100</v>
          </cell>
          <cell r="B2471">
            <v>4</v>
          </cell>
        </row>
        <row r="2472">
          <cell r="A2472" t="str">
            <v>45135882</v>
          </cell>
          <cell r="B2472">
            <v>22</v>
          </cell>
        </row>
        <row r="2473">
          <cell r="A2473" t="str">
            <v>45137178</v>
          </cell>
          <cell r="B2473">
            <v>1</v>
          </cell>
        </row>
        <row r="2474">
          <cell r="A2474" t="str">
            <v>45137449</v>
          </cell>
          <cell r="B2474">
            <v>18</v>
          </cell>
        </row>
        <row r="2475">
          <cell r="A2475" t="str">
            <v>45143361</v>
          </cell>
          <cell r="B2475">
            <v>3</v>
          </cell>
        </row>
        <row r="2476">
          <cell r="A2476" t="str">
            <v>45145222</v>
          </cell>
          <cell r="B2476">
            <v>2</v>
          </cell>
        </row>
        <row r="2477">
          <cell r="A2477" t="str">
            <v>45148127</v>
          </cell>
          <cell r="B2477">
            <v>2</v>
          </cell>
        </row>
        <row r="2478">
          <cell r="A2478" t="str">
            <v>45152088</v>
          </cell>
          <cell r="B2478">
            <v>43</v>
          </cell>
        </row>
        <row r="2479">
          <cell r="A2479" t="str">
            <v>45153668</v>
          </cell>
          <cell r="B2479">
            <v>6</v>
          </cell>
        </row>
        <row r="2480">
          <cell r="A2480" t="str">
            <v>45160681</v>
          </cell>
          <cell r="B2480">
            <v>7</v>
          </cell>
        </row>
        <row r="2481">
          <cell r="A2481" t="str">
            <v>45162600</v>
          </cell>
          <cell r="B2481">
            <v>12</v>
          </cell>
        </row>
        <row r="2482">
          <cell r="A2482" t="str">
            <v>45169276</v>
          </cell>
          <cell r="B2482">
            <v>10</v>
          </cell>
        </row>
        <row r="2483">
          <cell r="A2483" t="str">
            <v>45186428</v>
          </cell>
          <cell r="B2483">
            <v>3</v>
          </cell>
        </row>
        <row r="2484">
          <cell r="A2484" t="str">
            <v>45188877</v>
          </cell>
          <cell r="B2484">
            <v>3</v>
          </cell>
        </row>
        <row r="2485">
          <cell r="A2485" t="str">
            <v>45189835</v>
          </cell>
          <cell r="B2485">
            <v>16</v>
          </cell>
        </row>
        <row r="2486">
          <cell r="A2486" t="str">
            <v>45195039</v>
          </cell>
          <cell r="B2486">
            <v>7</v>
          </cell>
        </row>
        <row r="2487">
          <cell r="A2487" t="str">
            <v>45196048</v>
          </cell>
          <cell r="B2487">
            <v>1</v>
          </cell>
        </row>
        <row r="2488">
          <cell r="A2488" t="str">
            <v>45198339</v>
          </cell>
          <cell r="B2488">
            <v>3</v>
          </cell>
        </row>
        <row r="2489">
          <cell r="A2489" t="str">
            <v>45198763</v>
          </cell>
          <cell r="B2489">
            <v>1</v>
          </cell>
        </row>
        <row r="2490">
          <cell r="A2490" t="str">
            <v>45199848</v>
          </cell>
          <cell r="B2490">
            <v>1</v>
          </cell>
        </row>
        <row r="2491">
          <cell r="A2491" t="str">
            <v>45201000</v>
          </cell>
          <cell r="B2491">
            <v>5</v>
          </cell>
        </row>
        <row r="2492">
          <cell r="A2492" t="str">
            <v>45202461</v>
          </cell>
          <cell r="B2492">
            <v>3</v>
          </cell>
        </row>
        <row r="2493">
          <cell r="A2493" t="str">
            <v>45202839</v>
          </cell>
          <cell r="B2493">
            <v>10</v>
          </cell>
        </row>
        <row r="2494">
          <cell r="A2494" t="str">
            <v>45206783</v>
          </cell>
          <cell r="B2494">
            <v>1</v>
          </cell>
        </row>
        <row r="2495">
          <cell r="A2495" t="str">
            <v>45209432</v>
          </cell>
          <cell r="B2495">
            <v>67</v>
          </cell>
        </row>
        <row r="2496">
          <cell r="A2496" t="str">
            <v>45211730</v>
          </cell>
          <cell r="B2496">
            <v>9</v>
          </cell>
        </row>
        <row r="2497">
          <cell r="A2497" t="str">
            <v>45213416</v>
          </cell>
          <cell r="B2497">
            <v>9</v>
          </cell>
        </row>
        <row r="2498">
          <cell r="A2498" t="str">
            <v>45214732</v>
          </cell>
          <cell r="B2498">
            <v>32</v>
          </cell>
        </row>
        <row r="2499">
          <cell r="A2499" t="str">
            <v>45218392</v>
          </cell>
          <cell r="B2499">
            <v>8</v>
          </cell>
        </row>
        <row r="2500">
          <cell r="A2500" t="str">
            <v>45223012</v>
          </cell>
          <cell r="B2500">
            <v>2</v>
          </cell>
        </row>
        <row r="2501">
          <cell r="A2501" t="str">
            <v>45226619</v>
          </cell>
          <cell r="B2501">
            <v>33</v>
          </cell>
        </row>
        <row r="2502">
          <cell r="A2502" t="str">
            <v>45227441</v>
          </cell>
          <cell r="B2502">
            <v>4</v>
          </cell>
        </row>
        <row r="2503">
          <cell r="A2503" t="str">
            <v>45228309</v>
          </cell>
          <cell r="B2503">
            <v>4</v>
          </cell>
        </row>
        <row r="2504">
          <cell r="A2504" t="str">
            <v>45228834</v>
          </cell>
          <cell r="B2504">
            <v>20</v>
          </cell>
        </row>
        <row r="2505">
          <cell r="A2505" t="str">
            <v>45230907</v>
          </cell>
          <cell r="B2505">
            <v>2</v>
          </cell>
        </row>
        <row r="2506">
          <cell r="A2506" t="str">
            <v>45230938</v>
          </cell>
          <cell r="B2506">
            <v>1</v>
          </cell>
        </row>
        <row r="2507">
          <cell r="A2507" t="str">
            <v>45236988</v>
          </cell>
          <cell r="B2507">
            <v>1</v>
          </cell>
        </row>
        <row r="2508">
          <cell r="A2508" t="str">
            <v>45240944</v>
          </cell>
          <cell r="B2508">
            <v>5</v>
          </cell>
        </row>
        <row r="2509">
          <cell r="A2509" t="str">
            <v>45254547</v>
          </cell>
          <cell r="B2509">
            <v>6</v>
          </cell>
        </row>
        <row r="2510">
          <cell r="A2510" t="str">
            <v>45259103</v>
          </cell>
          <cell r="B2510">
            <v>1</v>
          </cell>
        </row>
        <row r="2511">
          <cell r="A2511" t="str">
            <v>45260437</v>
          </cell>
          <cell r="B2511">
            <v>8</v>
          </cell>
        </row>
        <row r="2512">
          <cell r="A2512" t="str">
            <v>45261252</v>
          </cell>
          <cell r="B2512">
            <v>21</v>
          </cell>
        </row>
        <row r="2513">
          <cell r="A2513" t="str">
            <v>45262764</v>
          </cell>
          <cell r="B2513">
            <v>7</v>
          </cell>
        </row>
        <row r="2514">
          <cell r="A2514" t="str">
            <v>45263312</v>
          </cell>
          <cell r="B2514">
            <v>3</v>
          </cell>
        </row>
        <row r="2515">
          <cell r="A2515" t="str">
            <v>45265104</v>
          </cell>
          <cell r="B2515">
            <v>21</v>
          </cell>
        </row>
        <row r="2516">
          <cell r="A2516" t="str">
            <v>45267440</v>
          </cell>
          <cell r="B2516">
            <v>22</v>
          </cell>
        </row>
        <row r="2517">
          <cell r="A2517" t="str">
            <v>45268367</v>
          </cell>
          <cell r="B2517">
            <v>16</v>
          </cell>
        </row>
        <row r="2518">
          <cell r="A2518" t="str">
            <v>45269459</v>
          </cell>
          <cell r="B2518">
            <v>7</v>
          </cell>
        </row>
        <row r="2519">
          <cell r="A2519" t="str">
            <v>45269744</v>
          </cell>
          <cell r="B2519">
            <v>4</v>
          </cell>
        </row>
        <row r="2520">
          <cell r="A2520" t="str">
            <v>45275018</v>
          </cell>
          <cell r="B2520">
            <v>25</v>
          </cell>
        </row>
        <row r="2521">
          <cell r="A2521" t="str">
            <v>45275305</v>
          </cell>
          <cell r="B2521">
            <v>2</v>
          </cell>
        </row>
        <row r="2522">
          <cell r="A2522" t="str">
            <v>45275922</v>
          </cell>
          <cell r="B2522">
            <v>13</v>
          </cell>
        </row>
        <row r="2523">
          <cell r="A2523" t="str">
            <v>45279523</v>
          </cell>
          <cell r="B2523">
            <v>2</v>
          </cell>
        </row>
        <row r="2524">
          <cell r="A2524" t="str">
            <v>45282603</v>
          </cell>
          <cell r="B2524">
            <v>7</v>
          </cell>
        </row>
        <row r="2525">
          <cell r="A2525" t="str">
            <v>45287934</v>
          </cell>
          <cell r="B2525">
            <v>34</v>
          </cell>
        </row>
        <row r="2526">
          <cell r="A2526" t="str">
            <v>45295647</v>
          </cell>
          <cell r="B2526">
            <v>3</v>
          </cell>
        </row>
        <row r="2527">
          <cell r="A2527" t="str">
            <v>45300500</v>
          </cell>
          <cell r="B2527">
            <v>28</v>
          </cell>
        </row>
        <row r="2528">
          <cell r="A2528" t="str">
            <v>45302716</v>
          </cell>
          <cell r="B2528">
            <v>7</v>
          </cell>
        </row>
        <row r="2529">
          <cell r="A2529" t="str">
            <v>45306233</v>
          </cell>
          <cell r="B2529">
            <v>5</v>
          </cell>
        </row>
        <row r="2530">
          <cell r="A2530" t="str">
            <v>45308800</v>
          </cell>
          <cell r="B2530">
            <v>9</v>
          </cell>
        </row>
        <row r="2531">
          <cell r="A2531" t="str">
            <v>45308997</v>
          </cell>
          <cell r="B2531">
            <v>9</v>
          </cell>
        </row>
        <row r="2532">
          <cell r="A2532" t="str">
            <v>45311196</v>
          </cell>
          <cell r="B2532">
            <v>10</v>
          </cell>
        </row>
        <row r="2533">
          <cell r="A2533" t="str">
            <v>45313046</v>
          </cell>
          <cell r="B2533">
            <v>72</v>
          </cell>
        </row>
        <row r="2534">
          <cell r="A2534" t="str">
            <v>45316550</v>
          </cell>
          <cell r="B2534">
            <v>3</v>
          </cell>
        </row>
        <row r="2535">
          <cell r="A2535" t="str">
            <v>45319375</v>
          </cell>
          <cell r="B2535">
            <v>13</v>
          </cell>
        </row>
        <row r="2536">
          <cell r="A2536" t="str">
            <v>45319442</v>
          </cell>
          <cell r="B2536">
            <v>1</v>
          </cell>
        </row>
        <row r="2537">
          <cell r="A2537" t="str">
            <v>45321540</v>
          </cell>
          <cell r="B2537">
            <v>17</v>
          </cell>
        </row>
        <row r="2538">
          <cell r="A2538" t="str">
            <v>45324962</v>
          </cell>
          <cell r="B2538">
            <v>6</v>
          </cell>
        </row>
        <row r="2539">
          <cell r="A2539" t="str">
            <v>45329710</v>
          </cell>
          <cell r="B2539">
            <v>1</v>
          </cell>
        </row>
        <row r="2540">
          <cell r="A2540" t="str">
            <v>45332017</v>
          </cell>
          <cell r="B2540">
            <v>1</v>
          </cell>
        </row>
        <row r="2541">
          <cell r="A2541" t="str">
            <v>45336436</v>
          </cell>
          <cell r="B2541">
            <v>10</v>
          </cell>
        </row>
        <row r="2542">
          <cell r="A2542" t="str">
            <v>45336590</v>
          </cell>
          <cell r="B2542">
            <v>5</v>
          </cell>
        </row>
        <row r="2543">
          <cell r="A2543" t="str">
            <v>45340096</v>
          </cell>
          <cell r="B2543">
            <v>1</v>
          </cell>
        </row>
        <row r="2544">
          <cell r="A2544" t="str">
            <v>45345662</v>
          </cell>
          <cell r="B2544">
            <v>40</v>
          </cell>
        </row>
        <row r="2545">
          <cell r="A2545" t="str">
            <v>45358850</v>
          </cell>
          <cell r="B2545">
            <v>7</v>
          </cell>
        </row>
        <row r="2546">
          <cell r="A2546" t="str">
            <v>45361921</v>
          </cell>
          <cell r="B2546">
            <v>54</v>
          </cell>
        </row>
        <row r="2547">
          <cell r="A2547" t="str">
            <v>45362721</v>
          </cell>
          <cell r="B2547">
            <v>6</v>
          </cell>
        </row>
        <row r="2548">
          <cell r="A2548" t="str">
            <v>45367312</v>
          </cell>
          <cell r="B2548">
            <v>2</v>
          </cell>
        </row>
        <row r="2549">
          <cell r="A2549" t="str">
            <v>45371603</v>
          </cell>
          <cell r="B2549">
            <v>2</v>
          </cell>
        </row>
        <row r="2550">
          <cell r="A2550" t="str">
            <v>45376686</v>
          </cell>
          <cell r="B2550">
            <v>12</v>
          </cell>
        </row>
        <row r="2551">
          <cell r="A2551" t="str">
            <v>45379026</v>
          </cell>
          <cell r="B2551">
            <v>12</v>
          </cell>
        </row>
        <row r="2552">
          <cell r="A2552" t="str">
            <v>45379869</v>
          </cell>
          <cell r="B2552">
            <v>3</v>
          </cell>
        </row>
        <row r="2553">
          <cell r="A2553" t="str">
            <v>45379957</v>
          </cell>
          <cell r="B2553">
            <v>1</v>
          </cell>
        </row>
        <row r="2554">
          <cell r="A2554" t="str">
            <v>45380948</v>
          </cell>
          <cell r="B2554">
            <v>4</v>
          </cell>
        </row>
        <row r="2555">
          <cell r="A2555" t="str">
            <v>45385816</v>
          </cell>
          <cell r="B2555">
            <v>9</v>
          </cell>
        </row>
        <row r="2556">
          <cell r="A2556" t="str">
            <v>45390361</v>
          </cell>
          <cell r="B2556">
            <v>76</v>
          </cell>
        </row>
        <row r="2557">
          <cell r="A2557" t="str">
            <v>45390925</v>
          </cell>
          <cell r="B2557">
            <v>1</v>
          </cell>
        </row>
        <row r="2558">
          <cell r="A2558" t="str">
            <v>45400983</v>
          </cell>
          <cell r="B2558">
            <v>5</v>
          </cell>
        </row>
        <row r="2559">
          <cell r="A2559" t="str">
            <v>45410094</v>
          </cell>
          <cell r="B2559">
            <v>1</v>
          </cell>
        </row>
        <row r="2560">
          <cell r="A2560" t="str">
            <v>45414857</v>
          </cell>
          <cell r="B2560">
            <v>22</v>
          </cell>
        </row>
        <row r="2561">
          <cell r="A2561" t="str">
            <v>45418903</v>
          </cell>
          <cell r="B2561">
            <v>3</v>
          </cell>
        </row>
        <row r="2562">
          <cell r="A2562" t="str">
            <v>45420030</v>
          </cell>
          <cell r="B2562">
            <v>18</v>
          </cell>
        </row>
        <row r="2563">
          <cell r="A2563" t="str">
            <v>45421187</v>
          </cell>
          <cell r="B2563">
            <v>7</v>
          </cell>
        </row>
        <row r="2564">
          <cell r="A2564" t="str">
            <v>45423593</v>
          </cell>
          <cell r="B2564">
            <v>6</v>
          </cell>
        </row>
        <row r="2565">
          <cell r="A2565" t="str">
            <v>45425357</v>
          </cell>
          <cell r="B2565">
            <v>1</v>
          </cell>
        </row>
        <row r="2566">
          <cell r="A2566" t="str">
            <v>45428117</v>
          </cell>
          <cell r="B2566">
            <v>4</v>
          </cell>
        </row>
        <row r="2567">
          <cell r="A2567" t="str">
            <v>45431844</v>
          </cell>
          <cell r="B2567">
            <v>1</v>
          </cell>
        </row>
        <row r="2568">
          <cell r="A2568" t="str">
            <v>45434161</v>
          </cell>
          <cell r="B2568">
            <v>5</v>
          </cell>
        </row>
        <row r="2569">
          <cell r="A2569" t="str">
            <v>45434325</v>
          </cell>
          <cell r="B2569">
            <v>69</v>
          </cell>
        </row>
        <row r="2570">
          <cell r="A2570" t="str">
            <v>45434813</v>
          </cell>
          <cell r="B2570">
            <v>13</v>
          </cell>
        </row>
        <row r="2571">
          <cell r="A2571" t="str">
            <v>45435636</v>
          </cell>
          <cell r="B2571">
            <v>4</v>
          </cell>
        </row>
        <row r="2572">
          <cell r="A2572" t="str">
            <v>45438837</v>
          </cell>
          <cell r="B2572">
            <v>6</v>
          </cell>
        </row>
        <row r="2573">
          <cell r="A2573" t="str">
            <v>45439238</v>
          </cell>
          <cell r="B2573">
            <v>20</v>
          </cell>
        </row>
        <row r="2574">
          <cell r="A2574" t="str">
            <v>45440960</v>
          </cell>
          <cell r="B2574">
            <v>24</v>
          </cell>
        </row>
        <row r="2575">
          <cell r="A2575" t="str">
            <v>45443017</v>
          </cell>
          <cell r="B2575">
            <v>5</v>
          </cell>
        </row>
        <row r="2576">
          <cell r="A2576" t="str">
            <v>45447903</v>
          </cell>
          <cell r="B2576">
            <v>7</v>
          </cell>
        </row>
        <row r="2577">
          <cell r="A2577" t="str">
            <v>45453659</v>
          </cell>
          <cell r="B2577">
            <v>1</v>
          </cell>
        </row>
        <row r="2578">
          <cell r="A2578" t="str">
            <v>45454062</v>
          </cell>
          <cell r="B2578">
            <v>14</v>
          </cell>
        </row>
        <row r="2579">
          <cell r="A2579" t="str">
            <v>45454238</v>
          </cell>
          <cell r="B2579">
            <v>12</v>
          </cell>
        </row>
        <row r="2580">
          <cell r="A2580" t="str">
            <v>45455983</v>
          </cell>
          <cell r="B2580">
            <v>6</v>
          </cell>
        </row>
        <row r="2581">
          <cell r="A2581" t="str">
            <v>45455999</v>
          </cell>
          <cell r="B2581">
            <v>1</v>
          </cell>
        </row>
        <row r="2582">
          <cell r="A2582" t="str">
            <v>45458565</v>
          </cell>
          <cell r="B2582">
            <v>5</v>
          </cell>
        </row>
        <row r="2583">
          <cell r="A2583" t="str">
            <v>45460626</v>
          </cell>
          <cell r="B2583">
            <v>30</v>
          </cell>
        </row>
        <row r="2584">
          <cell r="A2584" t="str">
            <v>45460728</v>
          </cell>
          <cell r="B2584">
            <v>1</v>
          </cell>
        </row>
        <row r="2585">
          <cell r="A2585" t="str">
            <v>45476908</v>
          </cell>
          <cell r="B2585">
            <v>3</v>
          </cell>
        </row>
        <row r="2586">
          <cell r="A2586" t="str">
            <v>45477292</v>
          </cell>
          <cell r="B2586">
            <v>1</v>
          </cell>
        </row>
        <row r="2587">
          <cell r="A2587" t="str">
            <v>45485268</v>
          </cell>
          <cell r="B2587">
            <v>14</v>
          </cell>
        </row>
        <row r="2588">
          <cell r="A2588" t="str">
            <v>45485278</v>
          </cell>
          <cell r="B2588">
            <v>14</v>
          </cell>
        </row>
        <row r="2589">
          <cell r="A2589" t="str">
            <v>45485288</v>
          </cell>
          <cell r="B2589">
            <v>6</v>
          </cell>
        </row>
        <row r="2590">
          <cell r="A2590" t="str">
            <v>45486043</v>
          </cell>
          <cell r="B2590">
            <v>1</v>
          </cell>
        </row>
        <row r="2591">
          <cell r="A2591" t="str">
            <v>45486552</v>
          </cell>
          <cell r="B2591">
            <v>6</v>
          </cell>
        </row>
        <row r="2592">
          <cell r="A2592" t="str">
            <v>45487004</v>
          </cell>
          <cell r="B2592">
            <v>8</v>
          </cell>
        </row>
        <row r="2593">
          <cell r="A2593" t="str">
            <v>45490604</v>
          </cell>
          <cell r="B2593">
            <v>18</v>
          </cell>
        </row>
        <row r="2594">
          <cell r="A2594" t="str">
            <v>45493041</v>
          </cell>
          <cell r="B2594">
            <v>1</v>
          </cell>
        </row>
        <row r="2595">
          <cell r="A2595" t="str">
            <v>45497269</v>
          </cell>
          <cell r="B2595">
            <v>4</v>
          </cell>
        </row>
        <row r="2596">
          <cell r="A2596" t="str">
            <v>45503151</v>
          </cell>
          <cell r="B2596">
            <v>3</v>
          </cell>
        </row>
        <row r="2597">
          <cell r="A2597" t="str">
            <v>45507178</v>
          </cell>
          <cell r="B2597">
            <v>9</v>
          </cell>
        </row>
        <row r="2598">
          <cell r="A2598" t="str">
            <v>45508236</v>
          </cell>
          <cell r="B2598">
            <v>2</v>
          </cell>
        </row>
        <row r="2599">
          <cell r="A2599" t="str">
            <v>45508612</v>
          </cell>
          <cell r="B2599">
            <v>14</v>
          </cell>
        </row>
        <row r="2600">
          <cell r="A2600" t="str">
            <v>45517209</v>
          </cell>
          <cell r="B2600">
            <v>11</v>
          </cell>
        </row>
        <row r="2601">
          <cell r="A2601" t="str">
            <v>45518666</v>
          </cell>
          <cell r="B2601">
            <v>66</v>
          </cell>
        </row>
        <row r="2602">
          <cell r="A2602" t="str">
            <v>45519243</v>
          </cell>
          <cell r="B2602">
            <v>5</v>
          </cell>
        </row>
        <row r="2603">
          <cell r="A2603" t="str">
            <v>45524498</v>
          </cell>
          <cell r="B2603">
            <v>9</v>
          </cell>
        </row>
        <row r="2604">
          <cell r="A2604" t="str">
            <v>45524821</v>
          </cell>
          <cell r="B2604">
            <v>5</v>
          </cell>
        </row>
        <row r="2605">
          <cell r="A2605" t="str">
            <v>45530011</v>
          </cell>
          <cell r="B2605">
            <v>2</v>
          </cell>
        </row>
        <row r="2606">
          <cell r="A2606" t="str">
            <v>45530924</v>
          </cell>
          <cell r="B2606">
            <v>6</v>
          </cell>
        </row>
        <row r="2607">
          <cell r="A2607" t="str">
            <v>45533154</v>
          </cell>
          <cell r="B2607">
            <v>9</v>
          </cell>
        </row>
        <row r="2608">
          <cell r="A2608" t="str">
            <v>45533531</v>
          </cell>
          <cell r="B2608">
            <v>2</v>
          </cell>
        </row>
        <row r="2609">
          <cell r="A2609" t="str">
            <v>45537561</v>
          </cell>
          <cell r="B2609">
            <v>1</v>
          </cell>
        </row>
        <row r="2610">
          <cell r="A2610" t="str">
            <v>45539629</v>
          </cell>
          <cell r="B2610">
            <v>20</v>
          </cell>
        </row>
        <row r="2611">
          <cell r="A2611" t="str">
            <v>45540071</v>
          </cell>
          <cell r="B2611">
            <v>5</v>
          </cell>
        </row>
        <row r="2612">
          <cell r="A2612" t="str">
            <v>45542685</v>
          </cell>
          <cell r="B2612">
            <v>4</v>
          </cell>
        </row>
        <row r="2613">
          <cell r="A2613" t="str">
            <v>45542733</v>
          </cell>
          <cell r="B2613">
            <v>3</v>
          </cell>
        </row>
        <row r="2614">
          <cell r="A2614" t="str">
            <v>45543818</v>
          </cell>
          <cell r="B2614">
            <v>4</v>
          </cell>
        </row>
        <row r="2615">
          <cell r="A2615" t="str">
            <v>45548249</v>
          </cell>
          <cell r="B2615">
            <v>6</v>
          </cell>
        </row>
        <row r="2616">
          <cell r="A2616" t="str">
            <v>45551659</v>
          </cell>
          <cell r="B2616">
            <v>30</v>
          </cell>
        </row>
        <row r="2617">
          <cell r="A2617" t="str">
            <v>45554868</v>
          </cell>
          <cell r="B2617">
            <v>5</v>
          </cell>
        </row>
        <row r="2618">
          <cell r="A2618" t="str">
            <v>45556967</v>
          </cell>
          <cell r="B2618">
            <v>12</v>
          </cell>
        </row>
        <row r="2619">
          <cell r="A2619" t="str">
            <v>45562053</v>
          </cell>
          <cell r="B2619">
            <v>2</v>
          </cell>
        </row>
        <row r="2620">
          <cell r="A2620" t="str">
            <v>45568881</v>
          </cell>
          <cell r="B2620">
            <v>8</v>
          </cell>
        </row>
        <row r="2621">
          <cell r="A2621" t="str">
            <v>45571917</v>
          </cell>
          <cell r="B2621">
            <v>6</v>
          </cell>
        </row>
        <row r="2622">
          <cell r="A2622" t="str">
            <v>45572953</v>
          </cell>
          <cell r="B2622">
            <v>5</v>
          </cell>
        </row>
        <row r="2623">
          <cell r="A2623" t="str">
            <v>45574426</v>
          </cell>
          <cell r="B2623">
            <v>1</v>
          </cell>
        </row>
        <row r="2624">
          <cell r="A2624" t="str">
            <v>45583838</v>
          </cell>
          <cell r="B2624">
            <v>5</v>
          </cell>
        </row>
        <row r="2625">
          <cell r="A2625" t="str">
            <v>45589192</v>
          </cell>
          <cell r="B2625">
            <v>14</v>
          </cell>
        </row>
        <row r="2626">
          <cell r="A2626" t="str">
            <v>45590860</v>
          </cell>
          <cell r="B2626">
            <v>3</v>
          </cell>
        </row>
        <row r="2627">
          <cell r="A2627" t="str">
            <v>45595706</v>
          </cell>
          <cell r="B2627">
            <v>9</v>
          </cell>
        </row>
        <row r="2628">
          <cell r="A2628" t="str">
            <v>45619937</v>
          </cell>
          <cell r="B2628">
            <v>2</v>
          </cell>
        </row>
        <row r="2629">
          <cell r="A2629" t="str">
            <v>45621310</v>
          </cell>
          <cell r="B2629">
            <v>8</v>
          </cell>
        </row>
        <row r="2630">
          <cell r="A2630" t="str">
            <v>45625898</v>
          </cell>
          <cell r="B2630">
            <v>16</v>
          </cell>
        </row>
        <row r="2631">
          <cell r="A2631" t="str">
            <v>45627711</v>
          </cell>
          <cell r="B2631">
            <v>5</v>
          </cell>
        </row>
        <row r="2632">
          <cell r="A2632" t="str">
            <v>45629675</v>
          </cell>
          <cell r="B2632">
            <v>9</v>
          </cell>
        </row>
        <row r="2633">
          <cell r="A2633" t="str">
            <v>45630319</v>
          </cell>
          <cell r="B2633">
            <v>5</v>
          </cell>
        </row>
        <row r="2634">
          <cell r="A2634" t="str">
            <v>45631202</v>
          </cell>
          <cell r="B2634">
            <v>1</v>
          </cell>
        </row>
        <row r="2635">
          <cell r="A2635" t="str">
            <v>45631678</v>
          </cell>
          <cell r="B2635">
            <v>3</v>
          </cell>
        </row>
        <row r="2636">
          <cell r="A2636" t="str">
            <v>45634069</v>
          </cell>
          <cell r="B2636">
            <v>8</v>
          </cell>
        </row>
        <row r="2637">
          <cell r="A2637" t="str">
            <v>45637967</v>
          </cell>
          <cell r="B2637">
            <v>6</v>
          </cell>
        </row>
        <row r="2638">
          <cell r="A2638" t="str">
            <v>45638003</v>
          </cell>
          <cell r="B2638">
            <v>4</v>
          </cell>
        </row>
        <row r="2639">
          <cell r="A2639" t="str">
            <v>45641309</v>
          </cell>
          <cell r="B2639">
            <v>6</v>
          </cell>
        </row>
        <row r="2640">
          <cell r="A2640" t="str">
            <v>45642265</v>
          </cell>
          <cell r="B2640">
            <v>7</v>
          </cell>
        </row>
        <row r="2641">
          <cell r="A2641" t="str">
            <v>45647457</v>
          </cell>
          <cell r="B2641">
            <v>4</v>
          </cell>
        </row>
        <row r="2642">
          <cell r="A2642" t="str">
            <v>45648483</v>
          </cell>
          <cell r="B2642">
            <v>42</v>
          </cell>
        </row>
        <row r="2643">
          <cell r="A2643" t="str">
            <v>45651678</v>
          </cell>
          <cell r="B2643">
            <v>5</v>
          </cell>
        </row>
        <row r="2644">
          <cell r="A2644" t="str">
            <v>45653247</v>
          </cell>
          <cell r="B2644">
            <v>7</v>
          </cell>
        </row>
        <row r="2645">
          <cell r="A2645" t="str">
            <v>45654418</v>
          </cell>
          <cell r="B2645">
            <v>5</v>
          </cell>
        </row>
        <row r="2646">
          <cell r="A2646" t="str">
            <v>45659369</v>
          </cell>
          <cell r="B2646">
            <v>9</v>
          </cell>
        </row>
        <row r="2647">
          <cell r="A2647" t="str">
            <v>45659384</v>
          </cell>
          <cell r="B2647">
            <v>6</v>
          </cell>
        </row>
        <row r="2648">
          <cell r="A2648" t="str">
            <v>45661308</v>
          </cell>
          <cell r="B2648">
            <v>20</v>
          </cell>
        </row>
        <row r="2649">
          <cell r="A2649" t="str">
            <v>45662878</v>
          </cell>
          <cell r="B2649">
            <v>3</v>
          </cell>
        </row>
        <row r="2650">
          <cell r="A2650" t="str">
            <v>45663597</v>
          </cell>
          <cell r="B2650">
            <v>5</v>
          </cell>
        </row>
        <row r="2651">
          <cell r="A2651" t="str">
            <v>45666265</v>
          </cell>
          <cell r="B2651">
            <v>10</v>
          </cell>
        </row>
        <row r="2652">
          <cell r="A2652" t="str">
            <v>45675121</v>
          </cell>
          <cell r="B2652">
            <v>2</v>
          </cell>
        </row>
        <row r="2653">
          <cell r="A2653" t="str">
            <v>45677092</v>
          </cell>
          <cell r="B2653">
            <v>3</v>
          </cell>
        </row>
        <row r="2654">
          <cell r="A2654" t="str">
            <v>45679729</v>
          </cell>
          <cell r="B2654">
            <v>17</v>
          </cell>
        </row>
        <row r="2655">
          <cell r="A2655" t="str">
            <v>45682108</v>
          </cell>
          <cell r="B2655">
            <v>3</v>
          </cell>
        </row>
        <row r="2656">
          <cell r="A2656" t="str">
            <v>45685167</v>
          </cell>
          <cell r="B2656">
            <v>24</v>
          </cell>
        </row>
        <row r="2657">
          <cell r="A2657" t="str">
            <v>45685822</v>
          </cell>
          <cell r="B2657">
            <v>3</v>
          </cell>
        </row>
        <row r="2658">
          <cell r="A2658" t="str">
            <v>45687597</v>
          </cell>
          <cell r="B2658">
            <v>7</v>
          </cell>
        </row>
        <row r="2659">
          <cell r="A2659" t="str">
            <v>45688476</v>
          </cell>
          <cell r="B2659">
            <v>5</v>
          </cell>
        </row>
        <row r="2660">
          <cell r="A2660" t="str">
            <v>45695786</v>
          </cell>
          <cell r="B2660">
            <v>2</v>
          </cell>
        </row>
        <row r="2661">
          <cell r="A2661" t="str">
            <v>45710368</v>
          </cell>
          <cell r="B2661">
            <v>1</v>
          </cell>
        </row>
        <row r="2662">
          <cell r="A2662" t="str">
            <v>45720055</v>
          </cell>
          <cell r="B2662">
            <v>60</v>
          </cell>
        </row>
        <row r="2663">
          <cell r="A2663" t="str">
            <v>45724468</v>
          </cell>
          <cell r="B2663">
            <v>6</v>
          </cell>
        </row>
        <row r="2664">
          <cell r="A2664" t="str">
            <v>45726793</v>
          </cell>
          <cell r="B2664">
            <v>39</v>
          </cell>
        </row>
        <row r="2665">
          <cell r="A2665" t="str">
            <v>45728934</v>
          </cell>
          <cell r="B2665">
            <v>2</v>
          </cell>
        </row>
        <row r="2666">
          <cell r="A2666" t="str">
            <v>45728967</v>
          </cell>
          <cell r="B2666">
            <v>2</v>
          </cell>
        </row>
        <row r="2667">
          <cell r="A2667" t="str">
            <v>45729396</v>
          </cell>
          <cell r="B2667">
            <v>10</v>
          </cell>
        </row>
        <row r="2668">
          <cell r="A2668" t="str">
            <v>45730443</v>
          </cell>
          <cell r="B2668">
            <v>7</v>
          </cell>
        </row>
        <row r="2669">
          <cell r="A2669" t="str">
            <v>45732266</v>
          </cell>
          <cell r="B2669">
            <v>15</v>
          </cell>
        </row>
        <row r="2670">
          <cell r="A2670" t="str">
            <v>45737392</v>
          </cell>
          <cell r="B2670">
            <v>3</v>
          </cell>
        </row>
        <row r="2671">
          <cell r="A2671" t="str">
            <v>45738089</v>
          </cell>
          <cell r="B2671">
            <v>22</v>
          </cell>
        </row>
        <row r="2672">
          <cell r="A2672" t="str">
            <v>45744796</v>
          </cell>
          <cell r="B2672">
            <v>1</v>
          </cell>
        </row>
        <row r="2673">
          <cell r="A2673" t="str">
            <v>45747197</v>
          </cell>
          <cell r="B2673">
            <v>29</v>
          </cell>
        </row>
        <row r="2674">
          <cell r="A2674" t="str">
            <v>45751239</v>
          </cell>
          <cell r="B2674">
            <v>4</v>
          </cell>
        </row>
        <row r="2675">
          <cell r="A2675" t="str">
            <v>45754038</v>
          </cell>
          <cell r="B2675">
            <v>43</v>
          </cell>
        </row>
        <row r="2676">
          <cell r="A2676" t="str">
            <v>45756303</v>
          </cell>
          <cell r="B2676">
            <v>27</v>
          </cell>
        </row>
        <row r="2677">
          <cell r="A2677" t="str">
            <v>45758079</v>
          </cell>
          <cell r="B2677">
            <v>24</v>
          </cell>
        </row>
        <row r="2678">
          <cell r="A2678" t="str">
            <v>45759668</v>
          </cell>
          <cell r="B2678">
            <v>4</v>
          </cell>
        </row>
        <row r="2679">
          <cell r="A2679" t="str">
            <v>45761737</v>
          </cell>
          <cell r="B2679">
            <v>4</v>
          </cell>
        </row>
        <row r="2680">
          <cell r="A2680" t="str">
            <v>45762187</v>
          </cell>
          <cell r="B2680">
            <v>9</v>
          </cell>
        </row>
        <row r="2681">
          <cell r="A2681" t="str">
            <v>45766588</v>
          </cell>
          <cell r="B2681">
            <v>106</v>
          </cell>
        </row>
        <row r="2682">
          <cell r="A2682" t="str">
            <v>45767362</v>
          </cell>
          <cell r="B2682">
            <v>45</v>
          </cell>
        </row>
        <row r="2683">
          <cell r="A2683" t="str">
            <v>45768020</v>
          </cell>
          <cell r="B2683">
            <v>8</v>
          </cell>
        </row>
        <row r="2684">
          <cell r="A2684" t="str">
            <v>45770686</v>
          </cell>
          <cell r="B2684">
            <v>8</v>
          </cell>
        </row>
        <row r="2685">
          <cell r="A2685" t="str">
            <v>45781409</v>
          </cell>
          <cell r="B2685">
            <v>171</v>
          </cell>
        </row>
        <row r="2686">
          <cell r="A2686" t="str">
            <v>45785972</v>
          </cell>
          <cell r="B2686">
            <v>5</v>
          </cell>
        </row>
        <row r="2687">
          <cell r="A2687" t="str">
            <v>45793397</v>
          </cell>
          <cell r="B2687">
            <v>25</v>
          </cell>
        </row>
        <row r="2688">
          <cell r="A2688" t="str">
            <v>45793680</v>
          </cell>
          <cell r="B2688">
            <v>1</v>
          </cell>
        </row>
        <row r="2689">
          <cell r="A2689" t="str">
            <v>45798459</v>
          </cell>
          <cell r="B2689">
            <v>15</v>
          </cell>
        </row>
        <row r="2690">
          <cell r="A2690" t="str">
            <v>45815562</v>
          </cell>
          <cell r="B2690">
            <v>8</v>
          </cell>
        </row>
        <row r="2691">
          <cell r="A2691" t="str">
            <v>45822621</v>
          </cell>
          <cell r="B2691">
            <v>7</v>
          </cell>
        </row>
        <row r="2692">
          <cell r="A2692" t="str">
            <v>45823611</v>
          </cell>
          <cell r="B2692">
            <v>11</v>
          </cell>
        </row>
        <row r="2693">
          <cell r="A2693" t="str">
            <v>45826137</v>
          </cell>
          <cell r="B2693">
            <v>18</v>
          </cell>
        </row>
        <row r="2694">
          <cell r="A2694" t="str">
            <v>45828863</v>
          </cell>
          <cell r="B2694">
            <v>8</v>
          </cell>
        </row>
        <row r="2695">
          <cell r="A2695" t="str">
            <v>45829646</v>
          </cell>
          <cell r="B2695">
            <v>6</v>
          </cell>
        </row>
        <row r="2696">
          <cell r="A2696" t="str">
            <v>45832447</v>
          </cell>
          <cell r="B2696">
            <v>28</v>
          </cell>
        </row>
        <row r="2697">
          <cell r="A2697" t="str">
            <v>45839504</v>
          </cell>
          <cell r="B2697">
            <v>17</v>
          </cell>
        </row>
        <row r="2698">
          <cell r="A2698" t="str">
            <v>45841327</v>
          </cell>
          <cell r="B2698">
            <v>9</v>
          </cell>
        </row>
        <row r="2699">
          <cell r="A2699" t="str">
            <v>45847970</v>
          </cell>
          <cell r="B2699">
            <v>2</v>
          </cell>
        </row>
        <row r="2700">
          <cell r="A2700" t="str">
            <v>45848011</v>
          </cell>
          <cell r="B2700">
            <v>7</v>
          </cell>
        </row>
        <row r="2701">
          <cell r="A2701" t="str">
            <v>45848595</v>
          </cell>
          <cell r="B2701">
            <v>2</v>
          </cell>
        </row>
        <row r="2702">
          <cell r="A2702" t="str">
            <v>45850347</v>
          </cell>
          <cell r="B2702">
            <v>2</v>
          </cell>
        </row>
        <row r="2703">
          <cell r="A2703" t="str">
            <v>45853014</v>
          </cell>
          <cell r="B2703">
            <v>17</v>
          </cell>
        </row>
        <row r="2704">
          <cell r="A2704" t="str">
            <v>45855191</v>
          </cell>
          <cell r="B2704">
            <v>9</v>
          </cell>
        </row>
        <row r="2705">
          <cell r="A2705" t="str">
            <v>45859229</v>
          </cell>
          <cell r="B2705">
            <v>1</v>
          </cell>
        </row>
        <row r="2706">
          <cell r="A2706" t="str">
            <v>45859575</v>
          </cell>
          <cell r="B2706">
            <v>5</v>
          </cell>
        </row>
        <row r="2707">
          <cell r="A2707" t="str">
            <v>45861105</v>
          </cell>
          <cell r="B2707">
            <v>1</v>
          </cell>
        </row>
        <row r="2708">
          <cell r="A2708" t="str">
            <v>45862705</v>
          </cell>
          <cell r="B2708">
            <v>4</v>
          </cell>
        </row>
        <row r="2709">
          <cell r="A2709" t="str">
            <v>45866960</v>
          </cell>
          <cell r="B2709">
            <v>7</v>
          </cell>
        </row>
        <row r="2710">
          <cell r="A2710" t="str">
            <v>45874546</v>
          </cell>
          <cell r="B2710">
            <v>21</v>
          </cell>
        </row>
        <row r="2711">
          <cell r="A2711" t="str">
            <v>45874937</v>
          </cell>
          <cell r="B2711">
            <v>2</v>
          </cell>
        </row>
        <row r="2712">
          <cell r="A2712" t="str">
            <v>45876054</v>
          </cell>
          <cell r="B2712">
            <v>1</v>
          </cell>
        </row>
        <row r="2713">
          <cell r="A2713" t="str">
            <v>45887110</v>
          </cell>
          <cell r="B2713">
            <v>1</v>
          </cell>
        </row>
        <row r="2714">
          <cell r="A2714" t="str">
            <v>45890461</v>
          </cell>
          <cell r="B2714">
            <v>6</v>
          </cell>
        </row>
        <row r="2715">
          <cell r="A2715" t="str">
            <v>45890936</v>
          </cell>
          <cell r="B2715">
            <v>1</v>
          </cell>
        </row>
        <row r="2716">
          <cell r="A2716" t="str">
            <v>45893737</v>
          </cell>
          <cell r="B2716">
            <v>1</v>
          </cell>
        </row>
        <row r="2717">
          <cell r="A2717" t="str">
            <v>45894187</v>
          </cell>
          <cell r="B2717">
            <v>8</v>
          </cell>
        </row>
        <row r="2718">
          <cell r="A2718" t="str">
            <v>45900163</v>
          </cell>
          <cell r="B2718">
            <v>3</v>
          </cell>
        </row>
        <row r="2719">
          <cell r="A2719" t="str">
            <v>45903991</v>
          </cell>
          <cell r="B2719">
            <v>34</v>
          </cell>
        </row>
        <row r="2720">
          <cell r="A2720" t="str">
            <v>45905616</v>
          </cell>
          <cell r="B2720">
            <v>2</v>
          </cell>
        </row>
        <row r="2721">
          <cell r="A2721" t="str">
            <v>45905804</v>
          </cell>
          <cell r="B2721">
            <v>5</v>
          </cell>
        </row>
        <row r="2722">
          <cell r="A2722" t="str">
            <v>45911195</v>
          </cell>
          <cell r="B2722">
            <v>147</v>
          </cell>
        </row>
        <row r="2723">
          <cell r="A2723" t="str">
            <v>45914722</v>
          </cell>
          <cell r="B2723">
            <v>21</v>
          </cell>
        </row>
        <row r="2724">
          <cell r="A2724" t="str">
            <v>45916912</v>
          </cell>
          <cell r="B2724">
            <v>1</v>
          </cell>
        </row>
        <row r="2725">
          <cell r="A2725" t="str">
            <v>45921337</v>
          </cell>
          <cell r="B2725">
            <v>1</v>
          </cell>
        </row>
        <row r="2726">
          <cell r="A2726" t="str">
            <v>45922296</v>
          </cell>
          <cell r="B2726">
            <v>46</v>
          </cell>
        </row>
        <row r="2727">
          <cell r="A2727" t="str">
            <v>45928004</v>
          </cell>
          <cell r="B2727">
            <v>3</v>
          </cell>
        </row>
        <row r="2728">
          <cell r="A2728" t="str">
            <v>45928324</v>
          </cell>
          <cell r="B2728">
            <v>3</v>
          </cell>
        </row>
        <row r="2729">
          <cell r="A2729" t="str">
            <v>45943082</v>
          </cell>
          <cell r="B2729">
            <v>1</v>
          </cell>
        </row>
        <row r="2730">
          <cell r="A2730" t="str">
            <v>45944304</v>
          </cell>
          <cell r="B2730">
            <v>4</v>
          </cell>
        </row>
        <row r="2731">
          <cell r="A2731" t="str">
            <v>45946590</v>
          </cell>
          <cell r="B2731">
            <v>3</v>
          </cell>
        </row>
        <row r="2732">
          <cell r="A2732" t="str">
            <v>45946904</v>
          </cell>
          <cell r="B2732">
            <v>7</v>
          </cell>
        </row>
        <row r="2733">
          <cell r="A2733" t="str">
            <v>45948751</v>
          </cell>
          <cell r="B2733">
            <v>3</v>
          </cell>
        </row>
        <row r="2734">
          <cell r="A2734" t="str">
            <v>45954423</v>
          </cell>
          <cell r="B2734">
            <v>12</v>
          </cell>
        </row>
        <row r="2735">
          <cell r="A2735" t="str">
            <v>45954476</v>
          </cell>
          <cell r="B2735">
            <v>15</v>
          </cell>
        </row>
        <row r="2736">
          <cell r="A2736" t="str">
            <v>45956289</v>
          </cell>
          <cell r="B2736">
            <v>4</v>
          </cell>
        </row>
        <row r="2737">
          <cell r="A2737" t="str">
            <v>45956505</v>
          </cell>
          <cell r="B2737">
            <v>9</v>
          </cell>
        </row>
        <row r="2738">
          <cell r="A2738" t="str">
            <v>45958071</v>
          </cell>
          <cell r="B2738">
            <v>6</v>
          </cell>
        </row>
        <row r="2739">
          <cell r="A2739" t="str">
            <v>45958661</v>
          </cell>
          <cell r="B2739">
            <v>10</v>
          </cell>
        </row>
        <row r="2740">
          <cell r="A2740" t="str">
            <v>45962425</v>
          </cell>
          <cell r="B2740">
            <v>10</v>
          </cell>
        </row>
        <row r="2741">
          <cell r="A2741" t="str">
            <v>45963862</v>
          </cell>
          <cell r="B2741">
            <v>7</v>
          </cell>
        </row>
        <row r="2742">
          <cell r="A2742" t="str">
            <v>45965518</v>
          </cell>
          <cell r="B2742">
            <v>17</v>
          </cell>
        </row>
        <row r="2743">
          <cell r="A2743" t="str">
            <v>45977312</v>
          </cell>
          <cell r="B2743">
            <v>3</v>
          </cell>
        </row>
        <row r="2744">
          <cell r="A2744" t="str">
            <v>45981092</v>
          </cell>
          <cell r="B2744">
            <v>25</v>
          </cell>
        </row>
        <row r="2745">
          <cell r="A2745" t="str">
            <v>45983025</v>
          </cell>
          <cell r="B2745">
            <v>2</v>
          </cell>
        </row>
        <row r="2746">
          <cell r="A2746" t="str">
            <v>45986306</v>
          </cell>
          <cell r="B2746">
            <v>12</v>
          </cell>
        </row>
        <row r="2747">
          <cell r="A2747" t="str">
            <v>45994855</v>
          </cell>
          <cell r="B2747">
            <v>5</v>
          </cell>
        </row>
        <row r="2748">
          <cell r="A2748" t="str">
            <v>46001769</v>
          </cell>
          <cell r="B2748">
            <v>7</v>
          </cell>
        </row>
        <row r="2749">
          <cell r="A2749" t="str">
            <v>46017070</v>
          </cell>
          <cell r="B2749">
            <v>13</v>
          </cell>
        </row>
        <row r="2750">
          <cell r="A2750" t="str">
            <v>46020178</v>
          </cell>
          <cell r="B2750">
            <v>8</v>
          </cell>
        </row>
        <row r="2751">
          <cell r="A2751" t="str">
            <v>46029768</v>
          </cell>
          <cell r="B2751">
            <v>16</v>
          </cell>
        </row>
        <row r="2752">
          <cell r="A2752" t="str">
            <v>46032972</v>
          </cell>
          <cell r="B2752">
            <v>7</v>
          </cell>
        </row>
        <row r="2753">
          <cell r="A2753" t="str">
            <v>46033879</v>
          </cell>
          <cell r="B2753">
            <v>32</v>
          </cell>
        </row>
        <row r="2754">
          <cell r="A2754" t="str">
            <v>46042696</v>
          </cell>
          <cell r="B2754">
            <v>6</v>
          </cell>
        </row>
        <row r="2755">
          <cell r="A2755" t="str">
            <v>46048614</v>
          </cell>
          <cell r="B2755">
            <v>2</v>
          </cell>
        </row>
        <row r="2756">
          <cell r="A2756" t="str">
            <v>46054607</v>
          </cell>
          <cell r="B2756">
            <v>1</v>
          </cell>
        </row>
        <row r="2757">
          <cell r="A2757" t="str">
            <v>46056580</v>
          </cell>
          <cell r="B2757">
            <v>18</v>
          </cell>
        </row>
        <row r="2758">
          <cell r="A2758" t="str">
            <v>46059805</v>
          </cell>
          <cell r="B2758">
            <v>4</v>
          </cell>
        </row>
        <row r="2759">
          <cell r="A2759" t="str">
            <v>46061862</v>
          </cell>
          <cell r="B2759">
            <v>28</v>
          </cell>
        </row>
        <row r="2760">
          <cell r="A2760" t="str">
            <v>46067567</v>
          </cell>
          <cell r="B2760">
            <v>3</v>
          </cell>
        </row>
        <row r="2761">
          <cell r="A2761" t="str">
            <v>46069038</v>
          </cell>
          <cell r="B2761">
            <v>4</v>
          </cell>
        </row>
        <row r="2762">
          <cell r="A2762" t="str">
            <v>46073013</v>
          </cell>
          <cell r="B2762">
            <v>1</v>
          </cell>
        </row>
        <row r="2763">
          <cell r="A2763" t="str">
            <v>46078265</v>
          </cell>
          <cell r="B2763">
            <v>4</v>
          </cell>
        </row>
        <row r="2764">
          <cell r="A2764" t="str">
            <v>46085270</v>
          </cell>
          <cell r="B2764">
            <v>2</v>
          </cell>
        </row>
        <row r="2765">
          <cell r="A2765" t="str">
            <v>46093056</v>
          </cell>
          <cell r="B2765">
            <v>3</v>
          </cell>
        </row>
        <row r="2766">
          <cell r="A2766" t="str">
            <v>46097430</v>
          </cell>
          <cell r="B2766">
            <v>3</v>
          </cell>
        </row>
        <row r="2767">
          <cell r="A2767" t="str">
            <v>46097803</v>
          </cell>
          <cell r="B2767">
            <v>1</v>
          </cell>
        </row>
        <row r="2768">
          <cell r="A2768" t="str">
            <v>46098265</v>
          </cell>
          <cell r="B2768">
            <v>4</v>
          </cell>
        </row>
        <row r="2769">
          <cell r="A2769" t="str">
            <v>46101623</v>
          </cell>
          <cell r="B2769">
            <v>1</v>
          </cell>
        </row>
        <row r="2770">
          <cell r="A2770" t="str">
            <v>46102610</v>
          </cell>
          <cell r="B2770">
            <v>3</v>
          </cell>
        </row>
        <row r="2771">
          <cell r="A2771" t="str">
            <v>46114466</v>
          </cell>
          <cell r="B2771">
            <v>37</v>
          </cell>
        </row>
        <row r="2772">
          <cell r="A2772" t="str">
            <v>46117923</v>
          </cell>
          <cell r="B2772">
            <v>3</v>
          </cell>
        </row>
        <row r="2773">
          <cell r="A2773" t="str">
            <v>46127144</v>
          </cell>
          <cell r="B2773">
            <v>3</v>
          </cell>
        </row>
        <row r="2774">
          <cell r="A2774" t="str">
            <v>46137827</v>
          </cell>
          <cell r="B2774">
            <v>2</v>
          </cell>
        </row>
        <row r="2775">
          <cell r="A2775" t="str">
            <v>46138981</v>
          </cell>
          <cell r="B2775">
            <v>2</v>
          </cell>
        </row>
        <row r="2776">
          <cell r="A2776" t="str">
            <v>46139970</v>
          </cell>
          <cell r="B2776">
            <v>9</v>
          </cell>
        </row>
        <row r="2777">
          <cell r="A2777" t="str">
            <v>46140005</v>
          </cell>
          <cell r="B2777">
            <v>14</v>
          </cell>
        </row>
        <row r="2778">
          <cell r="A2778" t="str">
            <v>46140802</v>
          </cell>
          <cell r="B2778">
            <v>4</v>
          </cell>
        </row>
        <row r="2779">
          <cell r="A2779" t="str">
            <v>46144834</v>
          </cell>
          <cell r="B2779">
            <v>1</v>
          </cell>
        </row>
        <row r="2780">
          <cell r="A2780" t="str">
            <v>46149311</v>
          </cell>
          <cell r="B2780">
            <v>2</v>
          </cell>
        </row>
        <row r="2781">
          <cell r="A2781" t="str">
            <v>46159144</v>
          </cell>
          <cell r="B2781">
            <v>7</v>
          </cell>
        </row>
        <row r="2782">
          <cell r="A2782" t="str">
            <v>46163744</v>
          </cell>
          <cell r="B2782">
            <v>3</v>
          </cell>
        </row>
        <row r="2783">
          <cell r="A2783" t="str">
            <v>46165300</v>
          </cell>
          <cell r="B2783">
            <v>5</v>
          </cell>
        </row>
        <row r="2784">
          <cell r="A2784" t="str">
            <v>46167605</v>
          </cell>
          <cell r="B2784">
            <v>8</v>
          </cell>
        </row>
        <row r="2785">
          <cell r="A2785" t="str">
            <v>46171848</v>
          </cell>
          <cell r="B2785">
            <v>9</v>
          </cell>
        </row>
        <row r="2786">
          <cell r="A2786" t="str">
            <v>46173184</v>
          </cell>
          <cell r="B2786">
            <v>22</v>
          </cell>
        </row>
        <row r="2787">
          <cell r="A2787" t="str">
            <v>46174986</v>
          </cell>
          <cell r="B2787">
            <v>11</v>
          </cell>
        </row>
        <row r="2788">
          <cell r="A2788" t="str">
            <v>46188561</v>
          </cell>
          <cell r="B2788">
            <v>23</v>
          </cell>
        </row>
        <row r="2789">
          <cell r="A2789" t="str">
            <v>46189445</v>
          </cell>
          <cell r="B2789">
            <v>26</v>
          </cell>
        </row>
        <row r="2790">
          <cell r="A2790" t="str">
            <v>46191745</v>
          </cell>
          <cell r="B2790">
            <v>7</v>
          </cell>
        </row>
        <row r="2791">
          <cell r="A2791" t="str">
            <v>46195137</v>
          </cell>
          <cell r="B2791">
            <v>6</v>
          </cell>
        </row>
        <row r="2792">
          <cell r="A2792" t="str">
            <v>46195795</v>
          </cell>
          <cell r="B2792">
            <v>14</v>
          </cell>
        </row>
        <row r="2793">
          <cell r="A2793" t="str">
            <v>46198310</v>
          </cell>
          <cell r="B2793">
            <v>22</v>
          </cell>
        </row>
        <row r="2794">
          <cell r="A2794" t="str">
            <v>46199363</v>
          </cell>
          <cell r="B2794">
            <v>5</v>
          </cell>
        </row>
        <row r="2795">
          <cell r="A2795" t="str">
            <v>46199801</v>
          </cell>
          <cell r="B2795">
            <v>5</v>
          </cell>
        </row>
        <row r="2796">
          <cell r="A2796" t="str">
            <v>46200631</v>
          </cell>
          <cell r="B2796">
            <v>12</v>
          </cell>
        </row>
        <row r="2797">
          <cell r="A2797" t="str">
            <v>46204309</v>
          </cell>
          <cell r="B2797">
            <v>3</v>
          </cell>
        </row>
        <row r="2798">
          <cell r="A2798" t="str">
            <v>46206883</v>
          </cell>
          <cell r="B2798">
            <v>76</v>
          </cell>
        </row>
        <row r="2799">
          <cell r="A2799" t="str">
            <v>46207297</v>
          </cell>
          <cell r="B2799">
            <v>15</v>
          </cell>
        </row>
        <row r="2800">
          <cell r="A2800" t="str">
            <v>46207468</v>
          </cell>
          <cell r="B2800">
            <v>4</v>
          </cell>
        </row>
        <row r="2801">
          <cell r="A2801" t="str">
            <v>46209825</v>
          </cell>
          <cell r="B2801">
            <v>12</v>
          </cell>
        </row>
        <row r="2802">
          <cell r="A2802" t="str">
            <v>46211082</v>
          </cell>
          <cell r="B2802">
            <v>10</v>
          </cell>
        </row>
        <row r="2803">
          <cell r="A2803" t="str">
            <v>46211359</v>
          </cell>
          <cell r="B2803">
            <v>2</v>
          </cell>
        </row>
        <row r="2804">
          <cell r="A2804" t="str">
            <v>46212154</v>
          </cell>
          <cell r="B2804">
            <v>17</v>
          </cell>
        </row>
        <row r="2805">
          <cell r="A2805" t="str">
            <v>46214942</v>
          </cell>
          <cell r="B2805">
            <v>9</v>
          </cell>
        </row>
        <row r="2806">
          <cell r="A2806" t="str">
            <v>46218467</v>
          </cell>
          <cell r="B2806">
            <v>4</v>
          </cell>
        </row>
        <row r="2807">
          <cell r="A2807" t="str">
            <v>46222619</v>
          </cell>
          <cell r="B2807">
            <v>4</v>
          </cell>
        </row>
        <row r="2808">
          <cell r="A2808" t="str">
            <v>46229815</v>
          </cell>
          <cell r="B2808">
            <v>1</v>
          </cell>
        </row>
        <row r="2809">
          <cell r="A2809" t="str">
            <v>46230169</v>
          </cell>
          <cell r="B2809">
            <v>83</v>
          </cell>
        </row>
        <row r="2810">
          <cell r="A2810" t="str">
            <v>46232150</v>
          </cell>
          <cell r="B2810">
            <v>4</v>
          </cell>
        </row>
        <row r="2811">
          <cell r="A2811" t="str">
            <v>46232411</v>
          </cell>
          <cell r="B2811">
            <v>2</v>
          </cell>
        </row>
        <row r="2812">
          <cell r="A2812" t="str">
            <v>46236910</v>
          </cell>
          <cell r="B2812">
            <v>5</v>
          </cell>
        </row>
        <row r="2813">
          <cell r="A2813" t="str">
            <v>46242860</v>
          </cell>
          <cell r="B2813">
            <v>16</v>
          </cell>
        </row>
        <row r="2814">
          <cell r="A2814" t="str">
            <v>46245445</v>
          </cell>
          <cell r="B2814">
            <v>31</v>
          </cell>
        </row>
        <row r="2815">
          <cell r="A2815" t="str">
            <v>46251262</v>
          </cell>
          <cell r="B2815">
            <v>7</v>
          </cell>
        </row>
        <row r="2816">
          <cell r="A2816" t="str">
            <v>46256202</v>
          </cell>
          <cell r="B2816">
            <v>6</v>
          </cell>
        </row>
        <row r="2817">
          <cell r="A2817" t="str">
            <v>46256620</v>
          </cell>
          <cell r="B2817">
            <v>1</v>
          </cell>
        </row>
        <row r="2818">
          <cell r="A2818" t="str">
            <v>46261256</v>
          </cell>
          <cell r="B2818">
            <v>10</v>
          </cell>
        </row>
        <row r="2819">
          <cell r="A2819" t="str">
            <v>46268940</v>
          </cell>
          <cell r="B2819">
            <v>3</v>
          </cell>
        </row>
        <row r="2820">
          <cell r="A2820" t="str">
            <v>46282437</v>
          </cell>
          <cell r="B2820">
            <v>3</v>
          </cell>
        </row>
        <row r="2821">
          <cell r="A2821" t="str">
            <v>46296263</v>
          </cell>
          <cell r="B2821">
            <v>3</v>
          </cell>
        </row>
        <row r="2822">
          <cell r="A2822" t="str">
            <v>46297253</v>
          </cell>
          <cell r="B2822">
            <v>4</v>
          </cell>
        </row>
        <row r="2823">
          <cell r="A2823" t="str">
            <v>46300934</v>
          </cell>
          <cell r="B2823">
            <v>14</v>
          </cell>
        </row>
        <row r="2824">
          <cell r="A2824" t="str">
            <v>46301888</v>
          </cell>
          <cell r="B2824">
            <v>20</v>
          </cell>
        </row>
        <row r="2825">
          <cell r="A2825" t="str">
            <v>46302144</v>
          </cell>
          <cell r="B2825">
            <v>2</v>
          </cell>
        </row>
        <row r="2826">
          <cell r="A2826" t="str">
            <v>46305120</v>
          </cell>
          <cell r="B2826">
            <v>4</v>
          </cell>
        </row>
        <row r="2827">
          <cell r="A2827" t="str">
            <v>46310009</v>
          </cell>
          <cell r="B2827">
            <v>53</v>
          </cell>
        </row>
        <row r="2828">
          <cell r="A2828" t="str">
            <v>46328787</v>
          </cell>
          <cell r="B2828">
            <v>30</v>
          </cell>
        </row>
        <row r="2829">
          <cell r="A2829" t="str">
            <v>46330045</v>
          </cell>
          <cell r="B2829">
            <v>6</v>
          </cell>
        </row>
        <row r="2830">
          <cell r="A2830" t="str">
            <v>46331592</v>
          </cell>
          <cell r="B2830">
            <v>4</v>
          </cell>
        </row>
        <row r="2831">
          <cell r="A2831" t="str">
            <v>46339648</v>
          </cell>
          <cell r="B2831">
            <v>33</v>
          </cell>
        </row>
        <row r="2832">
          <cell r="A2832" t="str">
            <v>46339709</v>
          </cell>
          <cell r="B2832">
            <v>19</v>
          </cell>
        </row>
        <row r="2833">
          <cell r="A2833" t="str">
            <v>46355478</v>
          </cell>
          <cell r="B2833">
            <v>17</v>
          </cell>
        </row>
        <row r="2834">
          <cell r="A2834" t="str">
            <v>46361123</v>
          </cell>
          <cell r="B2834">
            <v>38</v>
          </cell>
        </row>
        <row r="2835">
          <cell r="A2835" t="str">
            <v>46365273</v>
          </cell>
          <cell r="B2835">
            <v>24</v>
          </cell>
        </row>
        <row r="2836">
          <cell r="A2836" t="str">
            <v>46373278</v>
          </cell>
          <cell r="B2836">
            <v>2</v>
          </cell>
        </row>
        <row r="2837">
          <cell r="A2837" t="str">
            <v>46377367</v>
          </cell>
          <cell r="B2837">
            <v>8</v>
          </cell>
        </row>
        <row r="2838">
          <cell r="A2838" t="str">
            <v>46377891</v>
          </cell>
          <cell r="B2838">
            <v>3</v>
          </cell>
        </row>
        <row r="2839">
          <cell r="A2839" t="str">
            <v>46379662</v>
          </cell>
          <cell r="B2839">
            <v>8</v>
          </cell>
        </row>
        <row r="2840">
          <cell r="A2840" t="str">
            <v>46384671</v>
          </cell>
          <cell r="B2840">
            <v>4</v>
          </cell>
        </row>
        <row r="2841">
          <cell r="A2841" t="str">
            <v>46385522</v>
          </cell>
          <cell r="B2841">
            <v>4</v>
          </cell>
        </row>
        <row r="2842">
          <cell r="A2842" t="str">
            <v>46387040</v>
          </cell>
          <cell r="B2842">
            <v>5</v>
          </cell>
        </row>
        <row r="2843">
          <cell r="A2843" t="str">
            <v>46387384</v>
          </cell>
          <cell r="B2843">
            <v>9</v>
          </cell>
        </row>
        <row r="2844">
          <cell r="A2844" t="str">
            <v>46390257</v>
          </cell>
          <cell r="B2844">
            <v>15</v>
          </cell>
        </row>
        <row r="2845">
          <cell r="A2845" t="str">
            <v>46391544</v>
          </cell>
          <cell r="B2845">
            <v>1</v>
          </cell>
        </row>
        <row r="2846">
          <cell r="A2846" t="str">
            <v>46398635</v>
          </cell>
          <cell r="B2846">
            <v>1</v>
          </cell>
        </row>
        <row r="2847">
          <cell r="A2847" t="str">
            <v>46410652</v>
          </cell>
          <cell r="B2847">
            <v>11</v>
          </cell>
        </row>
        <row r="2848">
          <cell r="A2848" t="str">
            <v>46412128</v>
          </cell>
          <cell r="B2848">
            <v>6</v>
          </cell>
        </row>
        <row r="2849">
          <cell r="A2849" t="str">
            <v>46414429</v>
          </cell>
          <cell r="B2849">
            <v>5</v>
          </cell>
        </row>
        <row r="2850">
          <cell r="A2850" t="str">
            <v>46418184</v>
          </cell>
          <cell r="B2850">
            <v>3</v>
          </cell>
        </row>
        <row r="2851">
          <cell r="A2851" t="str">
            <v>46434406</v>
          </cell>
          <cell r="B2851">
            <v>17</v>
          </cell>
        </row>
        <row r="2852">
          <cell r="A2852" t="str">
            <v>46440441</v>
          </cell>
          <cell r="B2852">
            <v>10</v>
          </cell>
        </row>
        <row r="2853">
          <cell r="A2853" t="str">
            <v>46444967</v>
          </cell>
          <cell r="B2853">
            <v>19</v>
          </cell>
        </row>
        <row r="2854">
          <cell r="A2854" t="str">
            <v>46445031</v>
          </cell>
          <cell r="B2854">
            <v>7</v>
          </cell>
        </row>
        <row r="2855">
          <cell r="A2855" t="str">
            <v>46446572</v>
          </cell>
          <cell r="B2855">
            <v>11</v>
          </cell>
        </row>
        <row r="2856">
          <cell r="A2856" t="str">
            <v>46455186</v>
          </cell>
          <cell r="B2856">
            <v>8</v>
          </cell>
        </row>
        <row r="2857">
          <cell r="A2857" t="str">
            <v>46457313</v>
          </cell>
          <cell r="B2857">
            <v>2</v>
          </cell>
        </row>
        <row r="2858">
          <cell r="A2858" t="str">
            <v>46461353</v>
          </cell>
          <cell r="B2858">
            <v>2</v>
          </cell>
        </row>
        <row r="2859">
          <cell r="A2859" t="str">
            <v>46463250</v>
          </cell>
          <cell r="B2859">
            <v>3</v>
          </cell>
        </row>
        <row r="2860">
          <cell r="A2860" t="str">
            <v>46468206</v>
          </cell>
          <cell r="B2860">
            <v>16</v>
          </cell>
        </row>
        <row r="2861">
          <cell r="A2861" t="str">
            <v>46478931</v>
          </cell>
          <cell r="B2861">
            <v>3</v>
          </cell>
        </row>
        <row r="2862">
          <cell r="A2862" t="str">
            <v>46480111</v>
          </cell>
          <cell r="B2862">
            <v>9</v>
          </cell>
        </row>
        <row r="2863">
          <cell r="A2863" t="str">
            <v>46481387</v>
          </cell>
          <cell r="B2863">
            <v>23</v>
          </cell>
        </row>
        <row r="2864">
          <cell r="A2864" t="str">
            <v>46484021</v>
          </cell>
          <cell r="B2864">
            <v>23</v>
          </cell>
        </row>
        <row r="2865">
          <cell r="A2865" t="str">
            <v>46484628</v>
          </cell>
          <cell r="B2865">
            <v>2</v>
          </cell>
        </row>
        <row r="2866">
          <cell r="A2866" t="str">
            <v>46489136</v>
          </cell>
          <cell r="B2866">
            <v>17</v>
          </cell>
        </row>
        <row r="2867">
          <cell r="A2867" t="str">
            <v>46495382</v>
          </cell>
          <cell r="B2867">
            <v>8</v>
          </cell>
        </row>
        <row r="2868">
          <cell r="A2868" t="str">
            <v>46496481</v>
          </cell>
          <cell r="B2868">
            <v>7</v>
          </cell>
        </row>
        <row r="2869">
          <cell r="A2869" t="str">
            <v>46501559</v>
          </cell>
          <cell r="B2869">
            <v>9</v>
          </cell>
        </row>
        <row r="2870">
          <cell r="A2870" t="str">
            <v>46512711</v>
          </cell>
          <cell r="B2870">
            <v>3</v>
          </cell>
        </row>
        <row r="2871">
          <cell r="A2871" t="str">
            <v>46515372</v>
          </cell>
          <cell r="B2871">
            <v>2</v>
          </cell>
        </row>
        <row r="2872">
          <cell r="A2872" t="str">
            <v>46516501</v>
          </cell>
          <cell r="B2872">
            <v>4</v>
          </cell>
        </row>
        <row r="2873">
          <cell r="A2873" t="str">
            <v>46517356</v>
          </cell>
          <cell r="B2873">
            <v>3</v>
          </cell>
        </row>
        <row r="2874">
          <cell r="A2874" t="str">
            <v>46521140</v>
          </cell>
          <cell r="B2874">
            <v>21</v>
          </cell>
        </row>
        <row r="2875">
          <cell r="A2875" t="str">
            <v>46532956</v>
          </cell>
          <cell r="B2875">
            <v>28</v>
          </cell>
        </row>
        <row r="2876">
          <cell r="A2876" t="str">
            <v>46533824</v>
          </cell>
          <cell r="B2876">
            <v>3</v>
          </cell>
        </row>
        <row r="2877">
          <cell r="A2877" t="str">
            <v>46548733</v>
          </cell>
          <cell r="B2877">
            <v>1</v>
          </cell>
        </row>
        <row r="2878">
          <cell r="A2878" t="str">
            <v>46552770</v>
          </cell>
          <cell r="B2878">
            <v>6</v>
          </cell>
        </row>
        <row r="2879">
          <cell r="A2879" t="str">
            <v>46555336</v>
          </cell>
          <cell r="B2879">
            <v>10</v>
          </cell>
        </row>
        <row r="2880">
          <cell r="A2880" t="str">
            <v>46555588</v>
          </cell>
          <cell r="B2880">
            <v>2</v>
          </cell>
        </row>
        <row r="2881">
          <cell r="A2881" t="str">
            <v>46555610</v>
          </cell>
          <cell r="B2881">
            <v>3</v>
          </cell>
        </row>
        <row r="2882">
          <cell r="A2882" t="str">
            <v>46559768</v>
          </cell>
          <cell r="B2882">
            <v>34</v>
          </cell>
        </row>
        <row r="2883">
          <cell r="A2883" t="str">
            <v>46567032</v>
          </cell>
          <cell r="B2883">
            <v>1</v>
          </cell>
        </row>
        <row r="2884">
          <cell r="A2884" t="str">
            <v>46568651</v>
          </cell>
          <cell r="B2884">
            <v>6</v>
          </cell>
        </row>
        <row r="2885">
          <cell r="A2885" t="str">
            <v>46570244</v>
          </cell>
          <cell r="B2885">
            <v>3</v>
          </cell>
        </row>
        <row r="2886">
          <cell r="A2886" t="str">
            <v>46573618</v>
          </cell>
          <cell r="B2886">
            <v>144</v>
          </cell>
        </row>
        <row r="2887">
          <cell r="A2887" t="str">
            <v>46578258</v>
          </cell>
          <cell r="B2887">
            <v>4</v>
          </cell>
        </row>
        <row r="2888">
          <cell r="A2888" t="str">
            <v>46578843</v>
          </cell>
          <cell r="B2888">
            <v>4</v>
          </cell>
        </row>
        <row r="2889">
          <cell r="A2889" t="str">
            <v>46591098</v>
          </cell>
          <cell r="B2889">
            <v>5</v>
          </cell>
        </row>
        <row r="2890">
          <cell r="A2890" t="str">
            <v>46592789</v>
          </cell>
          <cell r="B2890">
            <v>10</v>
          </cell>
        </row>
        <row r="2891">
          <cell r="A2891" t="str">
            <v>46593546</v>
          </cell>
          <cell r="B2891">
            <v>3</v>
          </cell>
        </row>
        <row r="2892">
          <cell r="A2892" t="str">
            <v>46596687</v>
          </cell>
          <cell r="B2892">
            <v>1</v>
          </cell>
        </row>
        <row r="2893">
          <cell r="A2893" t="str">
            <v>46598777</v>
          </cell>
          <cell r="B2893">
            <v>2</v>
          </cell>
        </row>
        <row r="2894">
          <cell r="A2894" t="str">
            <v>46602534</v>
          </cell>
          <cell r="B2894">
            <v>3</v>
          </cell>
        </row>
        <row r="2895">
          <cell r="A2895" t="str">
            <v>46602576</v>
          </cell>
          <cell r="B2895">
            <v>4</v>
          </cell>
        </row>
        <row r="2896">
          <cell r="A2896" t="str">
            <v>46609584</v>
          </cell>
          <cell r="B2896">
            <v>24</v>
          </cell>
        </row>
        <row r="2897">
          <cell r="A2897" t="str">
            <v>46614098</v>
          </cell>
          <cell r="B2897">
            <v>10</v>
          </cell>
        </row>
        <row r="2898">
          <cell r="A2898" t="str">
            <v>46616440</v>
          </cell>
          <cell r="B2898">
            <v>8</v>
          </cell>
        </row>
        <row r="2899">
          <cell r="A2899" t="str">
            <v>46617571</v>
          </cell>
          <cell r="B2899">
            <v>5</v>
          </cell>
        </row>
        <row r="2900">
          <cell r="A2900" t="str">
            <v>46617914</v>
          </cell>
          <cell r="B2900">
            <v>2</v>
          </cell>
        </row>
        <row r="2901">
          <cell r="A2901" t="str">
            <v>46627632</v>
          </cell>
          <cell r="B2901">
            <v>3</v>
          </cell>
        </row>
        <row r="2902">
          <cell r="A2902" t="str">
            <v>46634849</v>
          </cell>
          <cell r="B2902">
            <v>8</v>
          </cell>
        </row>
        <row r="2903">
          <cell r="A2903" t="str">
            <v>46638776</v>
          </cell>
          <cell r="B2903">
            <v>5</v>
          </cell>
        </row>
        <row r="2904">
          <cell r="A2904" t="str">
            <v>46639112</v>
          </cell>
          <cell r="B2904">
            <v>5</v>
          </cell>
        </row>
        <row r="2905">
          <cell r="A2905" t="str">
            <v>46640880</v>
          </cell>
          <cell r="B2905">
            <v>3</v>
          </cell>
        </row>
        <row r="2906">
          <cell r="A2906" t="str">
            <v>46644174</v>
          </cell>
          <cell r="B2906">
            <v>2</v>
          </cell>
        </row>
        <row r="2907">
          <cell r="A2907" t="str">
            <v>46644225</v>
          </cell>
          <cell r="B2907">
            <v>5</v>
          </cell>
        </row>
        <row r="2908">
          <cell r="A2908" t="str">
            <v>46644727</v>
          </cell>
          <cell r="B2908">
            <v>10</v>
          </cell>
        </row>
        <row r="2909">
          <cell r="A2909" t="str">
            <v>46645172</v>
          </cell>
          <cell r="B2909">
            <v>1</v>
          </cell>
        </row>
        <row r="2910">
          <cell r="A2910" t="str">
            <v>46648679</v>
          </cell>
          <cell r="B2910">
            <v>12</v>
          </cell>
        </row>
        <row r="2911">
          <cell r="A2911" t="str">
            <v>46649783</v>
          </cell>
          <cell r="B2911">
            <v>3</v>
          </cell>
        </row>
        <row r="2912">
          <cell r="A2912" t="str">
            <v>46650745</v>
          </cell>
          <cell r="B2912">
            <v>2</v>
          </cell>
        </row>
        <row r="2913">
          <cell r="A2913" t="str">
            <v>46655689</v>
          </cell>
          <cell r="B2913">
            <v>8</v>
          </cell>
        </row>
        <row r="2914">
          <cell r="A2914" t="str">
            <v>46655706</v>
          </cell>
          <cell r="B2914">
            <v>8</v>
          </cell>
        </row>
        <row r="2915">
          <cell r="A2915" t="str">
            <v>46655808</v>
          </cell>
          <cell r="B2915">
            <v>2</v>
          </cell>
        </row>
        <row r="2916">
          <cell r="A2916" t="str">
            <v>46657033</v>
          </cell>
          <cell r="B2916">
            <v>2</v>
          </cell>
        </row>
        <row r="2917">
          <cell r="A2917" t="str">
            <v>46660740</v>
          </cell>
          <cell r="B2917">
            <v>19</v>
          </cell>
        </row>
        <row r="2918">
          <cell r="A2918" t="str">
            <v>46669383</v>
          </cell>
          <cell r="B2918">
            <v>11</v>
          </cell>
        </row>
        <row r="2919">
          <cell r="A2919" t="str">
            <v>46671482</v>
          </cell>
          <cell r="B2919">
            <v>13</v>
          </cell>
        </row>
        <row r="2920">
          <cell r="A2920" t="str">
            <v>46672854</v>
          </cell>
          <cell r="B2920">
            <v>1</v>
          </cell>
        </row>
        <row r="2921">
          <cell r="A2921" t="str">
            <v>46674267</v>
          </cell>
          <cell r="B2921">
            <v>3</v>
          </cell>
        </row>
        <row r="2922">
          <cell r="A2922" t="str">
            <v>46680251</v>
          </cell>
          <cell r="B2922">
            <v>27</v>
          </cell>
        </row>
        <row r="2923">
          <cell r="A2923" t="str">
            <v>46687129</v>
          </cell>
          <cell r="B2923">
            <v>3</v>
          </cell>
        </row>
        <row r="2924">
          <cell r="A2924" t="str">
            <v>46688476</v>
          </cell>
          <cell r="B2924">
            <v>25</v>
          </cell>
        </row>
        <row r="2925">
          <cell r="A2925" t="str">
            <v>46689528</v>
          </cell>
          <cell r="B2925">
            <v>11</v>
          </cell>
        </row>
        <row r="2926">
          <cell r="A2926" t="str">
            <v>46693245</v>
          </cell>
          <cell r="B2926">
            <v>1</v>
          </cell>
        </row>
        <row r="2927">
          <cell r="A2927" t="str">
            <v>46694895</v>
          </cell>
          <cell r="B2927">
            <v>9</v>
          </cell>
        </row>
        <row r="2928">
          <cell r="A2928" t="str">
            <v>46695084</v>
          </cell>
          <cell r="B2928">
            <v>9</v>
          </cell>
        </row>
        <row r="2929">
          <cell r="A2929" t="str">
            <v>46696320</v>
          </cell>
          <cell r="B2929">
            <v>6</v>
          </cell>
        </row>
        <row r="2930">
          <cell r="A2930" t="str">
            <v>46698446</v>
          </cell>
          <cell r="B2930">
            <v>21</v>
          </cell>
        </row>
        <row r="2931">
          <cell r="A2931" t="str">
            <v>46699855</v>
          </cell>
          <cell r="B2931">
            <v>18</v>
          </cell>
        </row>
        <row r="2932">
          <cell r="A2932" t="str">
            <v>46700001</v>
          </cell>
          <cell r="B2932">
            <v>16</v>
          </cell>
        </row>
        <row r="2933">
          <cell r="A2933" t="str">
            <v>46701413</v>
          </cell>
          <cell r="B2933">
            <v>4</v>
          </cell>
        </row>
        <row r="2934">
          <cell r="A2934" t="str">
            <v>46726723</v>
          </cell>
          <cell r="B2934">
            <v>30</v>
          </cell>
        </row>
        <row r="2935">
          <cell r="A2935" t="str">
            <v>46734443</v>
          </cell>
          <cell r="B2935">
            <v>6</v>
          </cell>
        </row>
        <row r="2936">
          <cell r="A2936" t="str">
            <v>46736183</v>
          </cell>
          <cell r="B2936">
            <v>11</v>
          </cell>
        </row>
        <row r="2937">
          <cell r="A2937" t="str">
            <v>46742181</v>
          </cell>
          <cell r="B2937">
            <v>6</v>
          </cell>
        </row>
        <row r="2938">
          <cell r="A2938" t="str">
            <v>46742371</v>
          </cell>
          <cell r="B2938">
            <v>6</v>
          </cell>
        </row>
        <row r="2939">
          <cell r="A2939" t="str">
            <v>46742567</v>
          </cell>
          <cell r="B2939">
            <v>17</v>
          </cell>
        </row>
        <row r="2940">
          <cell r="A2940" t="str">
            <v>46745248</v>
          </cell>
          <cell r="B2940">
            <v>2</v>
          </cell>
        </row>
        <row r="2941">
          <cell r="A2941" t="str">
            <v>46746559</v>
          </cell>
          <cell r="B2941">
            <v>3</v>
          </cell>
        </row>
        <row r="2942">
          <cell r="A2942" t="str">
            <v>46747290</v>
          </cell>
          <cell r="B2942">
            <v>2</v>
          </cell>
        </row>
        <row r="2943">
          <cell r="A2943" t="str">
            <v>46760760</v>
          </cell>
          <cell r="B2943">
            <v>4</v>
          </cell>
        </row>
        <row r="2944">
          <cell r="A2944" t="str">
            <v>46768262</v>
          </cell>
          <cell r="B2944">
            <v>21</v>
          </cell>
        </row>
        <row r="2945">
          <cell r="A2945" t="str">
            <v>46768907</v>
          </cell>
          <cell r="B2945">
            <v>5</v>
          </cell>
        </row>
        <row r="2946">
          <cell r="A2946" t="str">
            <v>46769704</v>
          </cell>
          <cell r="B2946">
            <v>3</v>
          </cell>
        </row>
        <row r="2947">
          <cell r="A2947" t="str">
            <v>46778658</v>
          </cell>
          <cell r="B2947">
            <v>1</v>
          </cell>
        </row>
        <row r="2948">
          <cell r="A2948" t="str">
            <v>46780170</v>
          </cell>
          <cell r="B2948">
            <v>1</v>
          </cell>
        </row>
        <row r="2949">
          <cell r="A2949" t="str">
            <v>46786862</v>
          </cell>
          <cell r="B2949">
            <v>4</v>
          </cell>
        </row>
        <row r="2950">
          <cell r="A2950" t="str">
            <v>46789996</v>
          </cell>
          <cell r="B2950">
            <v>2</v>
          </cell>
        </row>
        <row r="2951">
          <cell r="A2951" t="str">
            <v>46790580</v>
          </cell>
          <cell r="B2951">
            <v>2</v>
          </cell>
        </row>
        <row r="2952">
          <cell r="A2952" t="str">
            <v>46792499</v>
          </cell>
          <cell r="B2952">
            <v>1</v>
          </cell>
        </row>
        <row r="2953">
          <cell r="A2953" t="str">
            <v>46795687</v>
          </cell>
          <cell r="B2953">
            <v>8</v>
          </cell>
        </row>
        <row r="2954">
          <cell r="A2954" t="str">
            <v>46799049</v>
          </cell>
          <cell r="B2954">
            <v>8</v>
          </cell>
        </row>
        <row r="2955">
          <cell r="A2955" t="str">
            <v>46800929</v>
          </cell>
          <cell r="B2955">
            <v>8</v>
          </cell>
        </row>
        <row r="2956">
          <cell r="A2956" t="str">
            <v>46801079</v>
          </cell>
          <cell r="B2956">
            <v>2</v>
          </cell>
        </row>
        <row r="2957">
          <cell r="A2957" t="str">
            <v>46802753</v>
          </cell>
          <cell r="B2957">
            <v>1</v>
          </cell>
        </row>
        <row r="2958">
          <cell r="A2958" t="str">
            <v>46803055</v>
          </cell>
          <cell r="B2958">
            <v>10</v>
          </cell>
        </row>
        <row r="2959">
          <cell r="A2959" t="str">
            <v>46803887</v>
          </cell>
          <cell r="B2959">
            <v>2</v>
          </cell>
        </row>
        <row r="2960">
          <cell r="A2960" t="str">
            <v>46804235</v>
          </cell>
          <cell r="B2960">
            <v>2</v>
          </cell>
        </row>
        <row r="2961">
          <cell r="A2961" t="str">
            <v>46804268</v>
          </cell>
          <cell r="B2961">
            <v>1</v>
          </cell>
        </row>
        <row r="2962">
          <cell r="A2962" t="str">
            <v>46806703</v>
          </cell>
          <cell r="B2962">
            <v>15</v>
          </cell>
        </row>
        <row r="2963">
          <cell r="A2963" t="str">
            <v>46813795</v>
          </cell>
          <cell r="B2963">
            <v>7</v>
          </cell>
        </row>
        <row r="2964">
          <cell r="A2964" t="str">
            <v>46819454</v>
          </cell>
          <cell r="B2964">
            <v>2</v>
          </cell>
        </row>
        <row r="2965">
          <cell r="A2965" t="str">
            <v>46837436</v>
          </cell>
          <cell r="B2965">
            <v>3</v>
          </cell>
        </row>
        <row r="2966">
          <cell r="A2966" t="str">
            <v>46840023</v>
          </cell>
          <cell r="B2966">
            <v>17</v>
          </cell>
        </row>
        <row r="2967">
          <cell r="A2967" t="str">
            <v>46841723</v>
          </cell>
          <cell r="B2967">
            <v>2</v>
          </cell>
        </row>
        <row r="2968">
          <cell r="A2968" t="str">
            <v>46845446</v>
          </cell>
          <cell r="B2968">
            <v>6</v>
          </cell>
        </row>
        <row r="2969">
          <cell r="A2969" t="str">
            <v>46855414</v>
          </cell>
          <cell r="B2969">
            <v>6</v>
          </cell>
        </row>
        <row r="2970">
          <cell r="A2970" t="str">
            <v>46859657</v>
          </cell>
          <cell r="B2970">
            <v>2</v>
          </cell>
        </row>
        <row r="2971">
          <cell r="A2971" t="str">
            <v>46864898</v>
          </cell>
          <cell r="B2971">
            <v>4</v>
          </cell>
        </row>
        <row r="2972">
          <cell r="A2972" t="str">
            <v>46865662</v>
          </cell>
          <cell r="B2972">
            <v>8</v>
          </cell>
        </row>
        <row r="2973">
          <cell r="A2973" t="str">
            <v>46868745</v>
          </cell>
          <cell r="B2973">
            <v>31</v>
          </cell>
        </row>
        <row r="2974">
          <cell r="A2974" t="str">
            <v>46872848</v>
          </cell>
          <cell r="B2974">
            <v>1</v>
          </cell>
        </row>
        <row r="2975">
          <cell r="A2975" t="str">
            <v>46877151</v>
          </cell>
          <cell r="B2975">
            <v>26</v>
          </cell>
        </row>
        <row r="2976">
          <cell r="A2976" t="str">
            <v>46879587</v>
          </cell>
          <cell r="B2976">
            <v>6</v>
          </cell>
        </row>
        <row r="2977">
          <cell r="A2977" t="str">
            <v>46880351</v>
          </cell>
          <cell r="B2977">
            <v>2</v>
          </cell>
        </row>
        <row r="2978">
          <cell r="A2978" t="str">
            <v>46880808</v>
          </cell>
          <cell r="B2978">
            <v>17</v>
          </cell>
        </row>
        <row r="2979">
          <cell r="A2979" t="str">
            <v>46892413</v>
          </cell>
          <cell r="B2979">
            <v>3</v>
          </cell>
        </row>
        <row r="2980">
          <cell r="A2980" t="str">
            <v>46902154</v>
          </cell>
          <cell r="B2980">
            <v>25</v>
          </cell>
        </row>
        <row r="2981">
          <cell r="A2981" t="str">
            <v>46903121</v>
          </cell>
          <cell r="B2981">
            <v>6</v>
          </cell>
        </row>
        <row r="2982">
          <cell r="A2982" t="str">
            <v>46903708</v>
          </cell>
          <cell r="B2982">
            <v>8</v>
          </cell>
        </row>
        <row r="2983">
          <cell r="A2983" t="str">
            <v>46910979</v>
          </cell>
          <cell r="B2983">
            <v>1</v>
          </cell>
        </row>
        <row r="2984">
          <cell r="A2984" t="str">
            <v>46914133</v>
          </cell>
          <cell r="B2984">
            <v>15</v>
          </cell>
        </row>
        <row r="2985">
          <cell r="A2985" t="str">
            <v>46917590</v>
          </cell>
          <cell r="B2985">
            <v>12</v>
          </cell>
        </row>
        <row r="2986">
          <cell r="A2986" t="str">
            <v>46920062</v>
          </cell>
          <cell r="B2986">
            <v>9</v>
          </cell>
        </row>
        <row r="2987">
          <cell r="A2987" t="str">
            <v>46923396</v>
          </cell>
          <cell r="B2987">
            <v>9</v>
          </cell>
        </row>
        <row r="2988">
          <cell r="A2988" t="str">
            <v>46926866</v>
          </cell>
          <cell r="B2988">
            <v>5</v>
          </cell>
        </row>
        <row r="2989">
          <cell r="A2989" t="str">
            <v>46928798</v>
          </cell>
          <cell r="B2989">
            <v>2</v>
          </cell>
        </row>
        <row r="2990">
          <cell r="A2990" t="str">
            <v>46930019</v>
          </cell>
          <cell r="B2990">
            <v>8</v>
          </cell>
        </row>
        <row r="2991">
          <cell r="A2991" t="str">
            <v>46930564</v>
          </cell>
          <cell r="B2991">
            <v>3</v>
          </cell>
        </row>
        <row r="2992">
          <cell r="A2992" t="str">
            <v>46934735</v>
          </cell>
          <cell r="B2992">
            <v>2</v>
          </cell>
        </row>
        <row r="2993">
          <cell r="A2993" t="str">
            <v>46937970</v>
          </cell>
          <cell r="B2993">
            <v>28</v>
          </cell>
        </row>
        <row r="2994">
          <cell r="A2994" t="str">
            <v>46939827</v>
          </cell>
          <cell r="B2994">
            <v>35</v>
          </cell>
        </row>
        <row r="2995">
          <cell r="A2995" t="str">
            <v>46942915</v>
          </cell>
          <cell r="B2995">
            <v>15</v>
          </cell>
        </row>
        <row r="2996">
          <cell r="A2996" t="str">
            <v>46947458</v>
          </cell>
          <cell r="B2996">
            <v>2</v>
          </cell>
        </row>
        <row r="2997">
          <cell r="A2997" t="str">
            <v>46947581</v>
          </cell>
          <cell r="B2997">
            <v>18</v>
          </cell>
        </row>
        <row r="2998">
          <cell r="A2998" t="str">
            <v>46951072</v>
          </cell>
          <cell r="B2998">
            <v>16</v>
          </cell>
        </row>
        <row r="2999">
          <cell r="A2999" t="str">
            <v>46954733</v>
          </cell>
          <cell r="B2999">
            <v>1</v>
          </cell>
        </row>
        <row r="3000">
          <cell r="A3000" t="str">
            <v>46955188</v>
          </cell>
          <cell r="B3000">
            <v>4</v>
          </cell>
        </row>
        <row r="3001">
          <cell r="A3001" t="str">
            <v>46956027</v>
          </cell>
          <cell r="B3001">
            <v>25</v>
          </cell>
        </row>
        <row r="3002">
          <cell r="A3002" t="str">
            <v>46959667</v>
          </cell>
          <cell r="B3002">
            <v>7</v>
          </cell>
        </row>
        <row r="3003">
          <cell r="A3003" t="str">
            <v>46960539</v>
          </cell>
          <cell r="B3003">
            <v>9</v>
          </cell>
        </row>
        <row r="3004">
          <cell r="A3004" t="str">
            <v>46963473</v>
          </cell>
          <cell r="B3004">
            <v>2</v>
          </cell>
        </row>
        <row r="3005">
          <cell r="A3005" t="str">
            <v>46967495</v>
          </cell>
          <cell r="B3005">
            <v>1</v>
          </cell>
        </row>
        <row r="3006">
          <cell r="A3006" t="str">
            <v>46969699</v>
          </cell>
          <cell r="B3006">
            <v>1</v>
          </cell>
        </row>
        <row r="3007">
          <cell r="A3007" t="str">
            <v>46971506</v>
          </cell>
          <cell r="B3007">
            <v>2</v>
          </cell>
        </row>
        <row r="3008">
          <cell r="A3008" t="str">
            <v>46971532</v>
          </cell>
          <cell r="B3008">
            <v>3</v>
          </cell>
        </row>
        <row r="3009">
          <cell r="A3009" t="str">
            <v>46971908</v>
          </cell>
          <cell r="B3009">
            <v>3</v>
          </cell>
        </row>
        <row r="3010">
          <cell r="A3010" t="str">
            <v>46973477</v>
          </cell>
          <cell r="B3010">
            <v>8</v>
          </cell>
        </row>
        <row r="3011">
          <cell r="A3011" t="str">
            <v>46977966</v>
          </cell>
          <cell r="B3011">
            <v>49</v>
          </cell>
        </row>
        <row r="3012">
          <cell r="A3012" t="str">
            <v>46979798</v>
          </cell>
          <cell r="B3012">
            <v>4</v>
          </cell>
        </row>
        <row r="3013">
          <cell r="A3013" t="str">
            <v>46980028</v>
          </cell>
          <cell r="B3013">
            <v>4</v>
          </cell>
        </row>
        <row r="3014">
          <cell r="A3014" t="str">
            <v>46981248</v>
          </cell>
          <cell r="B3014">
            <v>10</v>
          </cell>
        </row>
        <row r="3015">
          <cell r="A3015" t="str">
            <v>46982414</v>
          </cell>
          <cell r="B3015">
            <v>1</v>
          </cell>
        </row>
        <row r="3016">
          <cell r="A3016" t="str">
            <v>46983403</v>
          </cell>
          <cell r="B3016">
            <v>2</v>
          </cell>
        </row>
        <row r="3017">
          <cell r="A3017" t="str">
            <v>46987319</v>
          </cell>
          <cell r="B3017">
            <v>3</v>
          </cell>
        </row>
        <row r="3018">
          <cell r="A3018" t="str">
            <v>46989822</v>
          </cell>
          <cell r="B3018">
            <v>11</v>
          </cell>
        </row>
        <row r="3019">
          <cell r="A3019" t="str">
            <v>46994728</v>
          </cell>
          <cell r="B3019">
            <v>1</v>
          </cell>
        </row>
        <row r="3020">
          <cell r="A3020" t="str">
            <v>46995993</v>
          </cell>
          <cell r="B3020">
            <v>16</v>
          </cell>
        </row>
        <row r="3021">
          <cell r="A3021" t="str">
            <v>47000121</v>
          </cell>
          <cell r="B3021">
            <v>7</v>
          </cell>
        </row>
        <row r="3022">
          <cell r="A3022" t="str">
            <v>47001849</v>
          </cell>
          <cell r="B3022">
            <v>2</v>
          </cell>
        </row>
        <row r="3023">
          <cell r="A3023" t="str">
            <v>47006397</v>
          </cell>
          <cell r="B3023">
            <v>6</v>
          </cell>
        </row>
        <row r="3024">
          <cell r="A3024" t="str">
            <v>47006720</v>
          </cell>
          <cell r="B3024">
            <v>4</v>
          </cell>
        </row>
        <row r="3025">
          <cell r="A3025" t="str">
            <v>47007338</v>
          </cell>
          <cell r="B3025">
            <v>1</v>
          </cell>
        </row>
        <row r="3026">
          <cell r="A3026" t="str">
            <v>47010084</v>
          </cell>
          <cell r="B3026">
            <v>2</v>
          </cell>
        </row>
        <row r="3027">
          <cell r="A3027" t="str">
            <v>47010786</v>
          </cell>
          <cell r="B3027">
            <v>7</v>
          </cell>
        </row>
        <row r="3028">
          <cell r="A3028" t="str">
            <v>47010960</v>
          </cell>
          <cell r="B3028">
            <v>6</v>
          </cell>
        </row>
        <row r="3029">
          <cell r="A3029" t="str">
            <v>47011167</v>
          </cell>
          <cell r="B3029">
            <v>27</v>
          </cell>
        </row>
        <row r="3030">
          <cell r="A3030" t="str">
            <v>47012575</v>
          </cell>
          <cell r="B3030">
            <v>1</v>
          </cell>
        </row>
        <row r="3031">
          <cell r="A3031" t="str">
            <v>47013846</v>
          </cell>
          <cell r="B3031">
            <v>127</v>
          </cell>
        </row>
        <row r="3032">
          <cell r="A3032" t="str">
            <v>47014906</v>
          </cell>
          <cell r="B3032">
            <v>2</v>
          </cell>
        </row>
        <row r="3033">
          <cell r="A3033" t="str">
            <v>47015604</v>
          </cell>
          <cell r="B3033">
            <v>1</v>
          </cell>
        </row>
        <row r="3034">
          <cell r="A3034" t="str">
            <v>47018219</v>
          </cell>
          <cell r="B3034">
            <v>12</v>
          </cell>
        </row>
        <row r="3035">
          <cell r="A3035" t="str">
            <v>47018762</v>
          </cell>
          <cell r="B3035">
            <v>1</v>
          </cell>
        </row>
        <row r="3036">
          <cell r="A3036" t="str">
            <v>47020959</v>
          </cell>
          <cell r="B3036">
            <v>7</v>
          </cell>
        </row>
        <row r="3037">
          <cell r="A3037" t="str">
            <v>47022217</v>
          </cell>
          <cell r="B3037">
            <v>1</v>
          </cell>
        </row>
        <row r="3038">
          <cell r="A3038" t="str">
            <v>47022768</v>
          </cell>
          <cell r="B3038">
            <v>6</v>
          </cell>
        </row>
        <row r="3039">
          <cell r="A3039" t="str">
            <v>47024469</v>
          </cell>
          <cell r="B3039">
            <v>8</v>
          </cell>
        </row>
        <row r="3040">
          <cell r="A3040" t="str">
            <v>47030089</v>
          </cell>
          <cell r="B3040">
            <v>4</v>
          </cell>
        </row>
        <row r="3041">
          <cell r="A3041" t="str">
            <v>47030635</v>
          </cell>
          <cell r="B3041">
            <v>10</v>
          </cell>
        </row>
        <row r="3042">
          <cell r="A3042" t="str">
            <v>47031327</v>
          </cell>
          <cell r="B3042">
            <v>12</v>
          </cell>
        </row>
        <row r="3043">
          <cell r="A3043" t="str">
            <v>47032136</v>
          </cell>
          <cell r="B3043">
            <v>3</v>
          </cell>
        </row>
        <row r="3044">
          <cell r="A3044" t="str">
            <v>47038356</v>
          </cell>
          <cell r="B3044">
            <v>20</v>
          </cell>
        </row>
        <row r="3045">
          <cell r="A3045" t="str">
            <v>47039885</v>
          </cell>
          <cell r="B3045">
            <v>2</v>
          </cell>
        </row>
        <row r="3046">
          <cell r="A3046" t="str">
            <v>47039960</v>
          </cell>
          <cell r="B3046">
            <v>3</v>
          </cell>
        </row>
        <row r="3047">
          <cell r="A3047" t="str">
            <v>47040556</v>
          </cell>
          <cell r="B3047">
            <v>4</v>
          </cell>
        </row>
        <row r="3048">
          <cell r="A3048" t="str">
            <v>47040677</v>
          </cell>
          <cell r="B3048">
            <v>12</v>
          </cell>
        </row>
        <row r="3049">
          <cell r="A3049" t="str">
            <v>47042627</v>
          </cell>
          <cell r="B3049">
            <v>2</v>
          </cell>
        </row>
        <row r="3050">
          <cell r="A3050" t="str">
            <v>47044882</v>
          </cell>
          <cell r="B3050">
            <v>10</v>
          </cell>
        </row>
        <row r="3051">
          <cell r="A3051" t="str">
            <v>47045611</v>
          </cell>
          <cell r="B3051">
            <v>4</v>
          </cell>
        </row>
        <row r="3052">
          <cell r="A3052" t="str">
            <v>47046098</v>
          </cell>
          <cell r="B3052">
            <v>36</v>
          </cell>
        </row>
        <row r="3053">
          <cell r="A3053" t="str">
            <v>47048292</v>
          </cell>
          <cell r="B3053">
            <v>3</v>
          </cell>
        </row>
        <row r="3054">
          <cell r="A3054" t="str">
            <v>47049884</v>
          </cell>
          <cell r="B3054">
            <v>3</v>
          </cell>
        </row>
        <row r="3055">
          <cell r="A3055" t="str">
            <v>47050912</v>
          </cell>
          <cell r="B3055">
            <v>6</v>
          </cell>
        </row>
        <row r="3056">
          <cell r="A3056" t="str">
            <v>47051223</v>
          </cell>
          <cell r="B3056">
            <v>4</v>
          </cell>
        </row>
        <row r="3057">
          <cell r="A3057" t="str">
            <v>47051823</v>
          </cell>
          <cell r="B3057">
            <v>1</v>
          </cell>
        </row>
        <row r="3058">
          <cell r="A3058" t="str">
            <v>47052824</v>
          </cell>
          <cell r="B3058">
            <v>13</v>
          </cell>
        </row>
        <row r="3059">
          <cell r="A3059" t="str">
            <v>47052881</v>
          </cell>
          <cell r="B3059">
            <v>7</v>
          </cell>
        </row>
        <row r="3060">
          <cell r="A3060" t="str">
            <v>47053324</v>
          </cell>
          <cell r="B3060">
            <v>11</v>
          </cell>
        </row>
        <row r="3061">
          <cell r="A3061" t="str">
            <v>47054428</v>
          </cell>
          <cell r="B3061">
            <v>5</v>
          </cell>
        </row>
        <row r="3062">
          <cell r="A3062" t="str">
            <v>47057513</v>
          </cell>
          <cell r="B3062">
            <v>7</v>
          </cell>
        </row>
        <row r="3063">
          <cell r="A3063" t="str">
            <v>47060827</v>
          </cell>
          <cell r="B3063">
            <v>4</v>
          </cell>
        </row>
        <row r="3064">
          <cell r="A3064" t="str">
            <v>47065737</v>
          </cell>
          <cell r="B3064">
            <v>5</v>
          </cell>
        </row>
        <row r="3065">
          <cell r="A3065" t="str">
            <v>47070015</v>
          </cell>
          <cell r="B3065">
            <v>1</v>
          </cell>
        </row>
        <row r="3066">
          <cell r="A3066" t="str">
            <v>47076244</v>
          </cell>
          <cell r="B3066">
            <v>7</v>
          </cell>
        </row>
        <row r="3067">
          <cell r="A3067" t="str">
            <v>47079309</v>
          </cell>
          <cell r="B3067">
            <v>3</v>
          </cell>
        </row>
        <row r="3068">
          <cell r="A3068" t="str">
            <v>47081023</v>
          </cell>
          <cell r="B3068">
            <v>24</v>
          </cell>
        </row>
        <row r="3069">
          <cell r="A3069" t="str">
            <v>47087868</v>
          </cell>
          <cell r="B3069">
            <v>16</v>
          </cell>
        </row>
        <row r="3070">
          <cell r="A3070" t="str">
            <v>47115770</v>
          </cell>
          <cell r="B3070">
            <v>2</v>
          </cell>
        </row>
        <row r="3071">
          <cell r="A3071" t="str">
            <v>47117795</v>
          </cell>
          <cell r="B3071">
            <v>18</v>
          </cell>
        </row>
        <row r="3072">
          <cell r="A3072" t="str">
            <v>47125438</v>
          </cell>
          <cell r="B3072">
            <v>10</v>
          </cell>
        </row>
        <row r="3073">
          <cell r="A3073" t="str">
            <v>47126102</v>
          </cell>
          <cell r="B3073">
            <v>11</v>
          </cell>
        </row>
        <row r="3074">
          <cell r="A3074" t="str">
            <v>47131732</v>
          </cell>
          <cell r="B3074">
            <v>13</v>
          </cell>
        </row>
        <row r="3075">
          <cell r="A3075" t="str">
            <v>47140443</v>
          </cell>
          <cell r="B3075">
            <v>13</v>
          </cell>
        </row>
        <row r="3076">
          <cell r="A3076" t="str">
            <v>47144856</v>
          </cell>
          <cell r="B3076">
            <v>7</v>
          </cell>
        </row>
        <row r="3077">
          <cell r="A3077" t="str">
            <v>47145478</v>
          </cell>
          <cell r="B3077">
            <v>10</v>
          </cell>
        </row>
        <row r="3078">
          <cell r="A3078" t="str">
            <v>47153677</v>
          </cell>
          <cell r="B3078">
            <v>16</v>
          </cell>
        </row>
        <row r="3079">
          <cell r="A3079" t="str">
            <v>47153795</v>
          </cell>
          <cell r="B3079">
            <v>2</v>
          </cell>
        </row>
        <row r="3080">
          <cell r="A3080" t="str">
            <v>47156019</v>
          </cell>
          <cell r="B3080">
            <v>6</v>
          </cell>
        </row>
        <row r="3081">
          <cell r="A3081" t="str">
            <v>47156493</v>
          </cell>
          <cell r="B3081">
            <v>10</v>
          </cell>
        </row>
        <row r="3082">
          <cell r="A3082" t="str">
            <v>47162081</v>
          </cell>
          <cell r="B3082">
            <v>2</v>
          </cell>
        </row>
        <row r="3083">
          <cell r="A3083" t="str">
            <v>47169944</v>
          </cell>
          <cell r="B3083">
            <v>1</v>
          </cell>
        </row>
        <row r="3084">
          <cell r="A3084" t="str">
            <v>47173374</v>
          </cell>
          <cell r="B3084">
            <v>12</v>
          </cell>
        </row>
        <row r="3085">
          <cell r="A3085" t="str">
            <v>47173385</v>
          </cell>
          <cell r="B3085">
            <v>8</v>
          </cell>
        </row>
        <row r="3086">
          <cell r="A3086" t="str">
            <v>47176375</v>
          </cell>
          <cell r="B3086">
            <v>1</v>
          </cell>
        </row>
        <row r="3087">
          <cell r="A3087" t="str">
            <v>47179314</v>
          </cell>
          <cell r="B3087">
            <v>7</v>
          </cell>
        </row>
        <row r="3088">
          <cell r="A3088" t="str">
            <v>47180494</v>
          </cell>
          <cell r="B3088">
            <v>20</v>
          </cell>
        </row>
        <row r="3089">
          <cell r="A3089" t="str">
            <v>47182077</v>
          </cell>
          <cell r="B3089">
            <v>2</v>
          </cell>
        </row>
        <row r="3090">
          <cell r="A3090" t="str">
            <v>47198737</v>
          </cell>
          <cell r="B3090">
            <v>6</v>
          </cell>
        </row>
        <row r="3091">
          <cell r="A3091" t="str">
            <v>47199887</v>
          </cell>
          <cell r="B3091">
            <v>10</v>
          </cell>
        </row>
        <row r="3092">
          <cell r="A3092" t="str">
            <v>47200489</v>
          </cell>
          <cell r="B3092">
            <v>3</v>
          </cell>
        </row>
        <row r="3093">
          <cell r="A3093" t="str">
            <v>47201173</v>
          </cell>
          <cell r="B3093">
            <v>3</v>
          </cell>
        </row>
        <row r="3094">
          <cell r="A3094" t="str">
            <v>47201806</v>
          </cell>
          <cell r="B3094">
            <v>1</v>
          </cell>
        </row>
        <row r="3095">
          <cell r="A3095" t="str">
            <v>47207015</v>
          </cell>
          <cell r="B3095">
            <v>5</v>
          </cell>
        </row>
        <row r="3096">
          <cell r="A3096" t="str">
            <v>47208597</v>
          </cell>
          <cell r="B3096">
            <v>8</v>
          </cell>
        </row>
        <row r="3097">
          <cell r="A3097" t="str">
            <v>47209028</v>
          </cell>
          <cell r="B3097">
            <v>5</v>
          </cell>
        </row>
        <row r="3098">
          <cell r="A3098" t="str">
            <v>47211510</v>
          </cell>
          <cell r="B3098">
            <v>3</v>
          </cell>
        </row>
        <row r="3099">
          <cell r="A3099" t="str">
            <v>47212029</v>
          </cell>
          <cell r="B3099">
            <v>13</v>
          </cell>
        </row>
        <row r="3100">
          <cell r="A3100" t="str">
            <v>47212967</v>
          </cell>
          <cell r="B3100">
            <v>1</v>
          </cell>
        </row>
        <row r="3101">
          <cell r="A3101" t="str">
            <v>47213549</v>
          </cell>
          <cell r="B3101">
            <v>12</v>
          </cell>
        </row>
        <row r="3102">
          <cell r="A3102" t="str">
            <v>47216444</v>
          </cell>
          <cell r="B3102">
            <v>63</v>
          </cell>
        </row>
        <row r="3103">
          <cell r="A3103" t="str">
            <v>47216730</v>
          </cell>
          <cell r="B3103">
            <v>3</v>
          </cell>
        </row>
        <row r="3104">
          <cell r="A3104" t="str">
            <v>47218690</v>
          </cell>
          <cell r="B3104">
            <v>3</v>
          </cell>
        </row>
        <row r="3105">
          <cell r="A3105" t="str">
            <v>47224518</v>
          </cell>
          <cell r="B3105">
            <v>9</v>
          </cell>
        </row>
        <row r="3106">
          <cell r="A3106" t="str">
            <v>47229862</v>
          </cell>
          <cell r="B3106">
            <v>176</v>
          </cell>
        </row>
        <row r="3107">
          <cell r="A3107" t="str">
            <v>47229966</v>
          </cell>
          <cell r="B3107">
            <v>1</v>
          </cell>
        </row>
        <row r="3108">
          <cell r="A3108" t="str">
            <v>47232818</v>
          </cell>
          <cell r="B3108">
            <v>4</v>
          </cell>
        </row>
        <row r="3109">
          <cell r="A3109" t="str">
            <v>47239206</v>
          </cell>
          <cell r="B3109">
            <v>1</v>
          </cell>
        </row>
        <row r="3110">
          <cell r="A3110" t="str">
            <v>47241867</v>
          </cell>
          <cell r="B3110">
            <v>7</v>
          </cell>
        </row>
        <row r="3111">
          <cell r="A3111" t="str">
            <v>47246532</v>
          </cell>
          <cell r="B3111">
            <v>2</v>
          </cell>
        </row>
        <row r="3112">
          <cell r="A3112" t="str">
            <v>47250427</v>
          </cell>
          <cell r="B3112">
            <v>2</v>
          </cell>
        </row>
        <row r="3113">
          <cell r="A3113" t="str">
            <v>47251850</v>
          </cell>
          <cell r="B3113">
            <v>1</v>
          </cell>
        </row>
        <row r="3114">
          <cell r="A3114" t="str">
            <v>47253952</v>
          </cell>
          <cell r="B3114">
            <v>8</v>
          </cell>
        </row>
        <row r="3115">
          <cell r="A3115" t="str">
            <v>47256696</v>
          </cell>
          <cell r="B3115">
            <v>16</v>
          </cell>
        </row>
        <row r="3116">
          <cell r="A3116" t="str">
            <v>47260114</v>
          </cell>
          <cell r="B3116">
            <v>6</v>
          </cell>
        </row>
        <row r="3117">
          <cell r="A3117" t="str">
            <v>47266610</v>
          </cell>
          <cell r="B3117">
            <v>1</v>
          </cell>
        </row>
        <row r="3118">
          <cell r="A3118" t="str">
            <v>47266926</v>
          </cell>
          <cell r="B3118">
            <v>9</v>
          </cell>
        </row>
        <row r="3119">
          <cell r="A3119" t="str">
            <v>47267440</v>
          </cell>
          <cell r="B3119">
            <v>8</v>
          </cell>
        </row>
        <row r="3120">
          <cell r="A3120" t="str">
            <v>47269131</v>
          </cell>
          <cell r="B3120">
            <v>6</v>
          </cell>
        </row>
        <row r="3121">
          <cell r="A3121" t="str">
            <v>47269840</v>
          </cell>
          <cell r="B3121">
            <v>2</v>
          </cell>
        </row>
        <row r="3122">
          <cell r="A3122" t="str">
            <v>47272526</v>
          </cell>
          <cell r="B3122">
            <v>8</v>
          </cell>
        </row>
        <row r="3123">
          <cell r="A3123" t="str">
            <v>47277908</v>
          </cell>
          <cell r="B3123">
            <v>3</v>
          </cell>
        </row>
        <row r="3124">
          <cell r="A3124" t="str">
            <v>47282457</v>
          </cell>
          <cell r="B3124">
            <v>5</v>
          </cell>
        </row>
        <row r="3125">
          <cell r="A3125" t="str">
            <v>47291464</v>
          </cell>
          <cell r="B3125">
            <v>1</v>
          </cell>
        </row>
        <row r="3126">
          <cell r="A3126" t="str">
            <v>47293270</v>
          </cell>
          <cell r="B3126">
            <v>1</v>
          </cell>
        </row>
        <row r="3127">
          <cell r="A3127" t="str">
            <v>47293284</v>
          </cell>
          <cell r="B3127">
            <v>13</v>
          </cell>
        </row>
        <row r="3128">
          <cell r="A3128" t="str">
            <v>47295078</v>
          </cell>
          <cell r="B3128">
            <v>1</v>
          </cell>
        </row>
        <row r="3129">
          <cell r="A3129" t="str">
            <v>47296786</v>
          </cell>
          <cell r="B3129">
            <v>2</v>
          </cell>
        </row>
        <row r="3130">
          <cell r="A3130" t="str">
            <v>47297653</v>
          </cell>
          <cell r="B3130">
            <v>1</v>
          </cell>
        </row>
        <row r="3131">
          <cell r="A3131" t="str">
            <v>47299191</v>
          </cell>
          <cell r="B3131">
            <v>8</v>
          </cell>
        </row>
        <row r="3132">
          <cell r="A3132" t="str">
            <v>47302326</v>
          </cell>
          <cell r="B3132">
            <v>21</v>
          </cell>
        </row>
        <row r="3133">
          <cell r="A3133" t="str">
            <v>47302978</v>
          </cell>
          <cell r="B3133">
            <v>2</v>
          </cell>
        </row>
        <row r="3134">
          <cell r="A3134" t="str">
            <v>47304047</v>
          </cell>
          <cell r="B3134">
            <v>8</v>
          </cell>
        </row>
        <row r="3135">
          <cell r="A3135" t="str">
            <v>47312695</v>
          </cell>
          <cell r="B3135">
            <v>18</v>
          </cell>
        </row>
        <row r="3136">
          <cell r="A3136" t="str">
            <v>47313524</v>
          </cell>
          <cell r="B3136">
            <v>3</v>
          </cell>
        </row>
        <row r="3137">
          <cell r="A3137" t="str">
            <v>47313704</v>
          </cell>
          <cell r="B3137">
            <v>1</v>
          </cell>
        </row>
        <row r="3138">
          <cell r="A3138" t="str">
            <v>47316322</v>
          </cell>
          <cell r="B3138">
            <v>11</v>
          </cell>
        </row>
        <row r="3139">
          <cell r="A3139" t="str">
            <v>47319875</v>
          </cell>
          <cell r="B3139">
            <v>7</v>
          </cell>
        </row>
        <row r="3140">
          <cell r="A3140" t="str">
            <v>47328344</v>
          </cell>
          <cell r="B3140">
            <v>22</v>
          </cell>
        </row>
        <row r="3141">
          <cell r="A3141" t="str">
            <v>47329750</v>
          </cell>
          <cell r="B3141">
            <v>12</v>
          </cell>
        </row>
        <row r="3142">
          <cell r="A3142" t="str">
            <v>47336237</v>
          </cell>
          <cell r="B3142">
            <v>6</v>
          </cell>
        </row>
        <row r="3143">
          <cell r="A3143" t="str">
            <v>47336867</v>
          </cell>
          <cell r="B3143">
            <v>4</v>
          </cell>
        </row>
        <row r="3144">
          <cell r="A3144" t="str">
            <v>47341118</v>
          </cell>
          <cell r="B3144">
            <v>4</v>
          </cell>
        </row>
        <row r="3145">
          <cell r="A3145" t="str">
            <v>47343789</v>
          </cell>
          <cell r="B3145">
            <v>1</v>
          </cell>
        </row>
        <row r="3146">
          <cell r="A3146" t="str">
            <v>47344665</v>
          </cell>
          <cell r="B3146">
            <v>3</v>
          </cell>
        </row>
        <row r="3147">
          <cell r="A3147" t="str">
            <v>47352952</v>
          </cell>
          <cell r="B3147">
            <v>6</v>
          </cell>
        </row>
        <row r="3148">
          <cell r="A3148" t="str">
            <v>47352982</v>
          </cell>
          <cell r="B3148">
            <v>23</v>
          </cell>
        </row>
        <row r="3149">
          <cell r="A3149" t="str">
            <v>47353359</v>
          </cell>
          <cell r="B3149">
            <v>10</v>
          </cell>
        </row>
        <row r="3150">
          <cell r="A3150" t="str">
            <v>47353737</v>
          </cell>
          <cell r="B3150">
            <v>16</v>
          </cell>
        </row>
        <row r="3151">
          <cell r="A3151" t="str">
            <v>47354722</v>
          </cell>
          <cell r="B3151">
            <v>11</v>
          </cell>
        </row>
        <row r="3152">
          <cell r="A3152" t="str">
            <v>47355002</v>
          </cell>
          <cell r="B3152">
            <v>12</v>
          </cell>
        </row>
        <row r="3153">
          <cell r="A3153" t="str">
            <v>47355570</v>
          </cell>
          <cell r="B3153">
            <v>3</v>
          </cell>
        </row>
        <row r="3154">
          <cell r="A3154" t="str">
            <v>47356814</v>
          </cell>
          <cell r="B3154">
            <v>1</v>
          </cell>
        </row>
        <row r="3155">
          <cell r="A3155" t="str">
            <v>47358618</v>
          </cell>
          <cell r="B3155">
            <v>12</v>
          </cell>
        </row>
        <row r="3156">
          <cell r="A3156" t="str">
            <v>47359953</v>
          </cell>
          <cell r="B3156">
            <v>10</v>
          </cell>
        </row>
        <row r="3157">
          <cell r="A3157" t="str">
            <v>47369741</v>
          </cell>
          <cell r="B3157">
            <v>5</v>
          </cell>
        </row>
        <row r="3158">
          <cell r="A3158" t="str">
            <v>47372842</v>
          </cell>
          <cell r="B3158">
            <v>3</v>
          </cell>
        </row>
        <row r="3159">
          <cell r="A3159" t="str">
            <v>47376081</v>
          </cell>
          <cell r="B3159">
            <v>24</v>
          </cell>
        </row>
        <row r="3160">
          <cell r="A3160" t="str">
            <v>47378746</v>
          </cell>
          <cell r="B3160">
            <v>22</v>
          </cell>
        </row>
        <row r="3161">
          <cell r="A3161" t="str">
            <v>47384251</v>
          </cell>
          <cell r="B3161">
            <v>2</v>
          </cell>
        </row>
        <row r="3162">
          <cell r="A3162" t="str">
            <v>47387103</v>
          </cell>
          <cell r="B3162">
            <v>2</v>
          </cell>
        </row>
        <row r="3163">
          <cell r="A3163" t="str">
            <v>47390612</v>
          </cell>
          <cell r="B3163">
            <v>90</v>
          </cell>
        </row>
        <row r="3164">
          <cell r="A3164" t="str">
            <v>47391280</v>
          </cell>
          <cell r="B3164">
            <v>12</v>
          </cell>
        </row>
        <row r="3165">
          <cell r="A3165" t="str">
            <v>47397432</v>
          </cell>
          <cell r="B3165">
            <v>34</v>
          </cell>
        </row>
        <row r="3166">
          <cell r="A3166" t="str">
            <v>47399808</v>
          </cell>
          <cell r="B3166">
            <v>7</v>
          </cell>
        </row>
        <row r="3167">
          <cell r="A3167" t="str">
            <v>47404545</v>
          </cell>
          <cell r="B3167">
            <v>3</v>
          </cell>
        </row>
        <row r="3168">
          <cell r="A3168" t="str">
            <v>47405019</v>
          </cell>
          <cell r="B3168">
            <v>1</v>
          </cell>
        </row>
        <row r="3169">
          <cell r="A3169" t="str">
            <v>47411654</v>
          </cell>
          <cell r="B3169">
            <v>8</v>
          </cell>
        </row>
        <row r="3170">
          <cell r="A3170" t="str">
            <v>47414924</v>
          </cell>
          <cell r="B3170">
            <v>1</v>
          </cell>
        </row>
        <row r="3171">
          <cell r="A3171" t="str">
            <v>47419033</v>
          </cell>
          <cell r="B3171">
            <v>1</v>
          </cell>
        </row>
        <row r="3172">
          <cell r="A3172" t="str">
            <v>47419575</v>
          </cell>
          <cell r="B3172">
            <v>7</v>
          </cell>
        </row>
        <row r="3173">
          <cell r="A3173" t="str">
            <v>47426022</v>
          </cell>
          <cell r="B3173">
            <v>17</v>
          </cell>
        </row>
        <row r="3174">
          <cell r="A3174" t="str">
            <v>47448080</v>
          </cell>
          <cell r="B3174">
            <v>3</v>
          </cell>
        </row>
        <row r="3175">
          <cell r="A3175" t="str">
            <v>47450076</v>
          </cell>
          <cell r="B3175">
            <v>4</v>
          </cell>
        </row>
        <row r="3176">
          <cell r="A3176" t="str">
            <v>47458978</v>
          </cell>
          <cell r="B3176">
            <v>72</v>
          </cell>
        </row>
        <row r="3177">
          <cell r="A3177" t="str">
            <v>47462952</v>
          </cell>
          <cell r="B3177">
            <v>1</v>
          </cell>
        </row>
        <row r="3178">
          <cell r="A3178" t="str">
            <v>47470232</v>
          </cell>
          <cell r="B3178">
            <v>21</v>
          </cell>
        </row>
        <row r="3179">
          <cell r="A3179" t="str">
            <v>47476097</v>
          </cell>
          <cell r="B3179">
            <v>6</v>
          </cell>
        </row>
        <row r="3180">
          <cell r="A3180" t="str">
            <v>47479591</v>
          </cell>
          <cell r="B3180">
            <v>11</v>
          </cell>
        </row>
        <row r="3181">
          <cell r="A3181" t="str">
            <v>47487194</v>
          </cell>
          <cell r="B3181">
            <v>7</v>
          </cell>
        </row>
        <row r="3182">
          <cell r="A3182" t="str">
            <v>47488597</v>
          </cell>
          <cell r="B3182">
            <v>3</v>
          </cell>
        </row>
        <row r="3183">
          <cell r="A3183" t="str">
            <v>47491130</v>
          </cell>
          <cell r="B3183">
            <v>18</v>
          </cell>
        </row>
        <row r="3184">
          <cell r="A3184" t="str">
            <v>47491405</v>
          </cell>
          <cell r="B3184">
            <v>10</v>
          </cell>
        </row>
        <row r="3185">
          <cell r="A3185" t="str">
            <v>47493897</v>
          </cell>
          <cell r="B3185">
            <v>3</v>
          </cell>
        </row>
        <row r="3186">
          <cell r="A3186" t="str">
            <v>47495570</v>
          </cell>
          <cell r="B3186">
            <v>22</v>
          </cell>
        </row>
        <row r="3187">
          <cell r="A3187" t="str">
            <v>47495587</v>
          </cell>
          <cell r="B3187">
            <v>20</v>
          </cell>
        </row>
        <row r="3188">
          <cell r="A3188" t="str">
            <v>47496654</v>
          </cell>
          <cell r="B3188">
            <v>5</v>
          </cell>
        </row>
        <row r="3189">
          <cell r="A3189" t="str">
            <v>47498735</v>
          </cell>
          <cell r="B3189">
            <v>8</v>
          </cell>
        </row>
        <row r="3190">
          <cell r="A3190" t="str">
            <v>47500388</v>
          </cell>
          <cell r="B3190">
            <v>15</v>
          </cell>
        </row>
        <row r="3191">
          <cell r="A3191" t="str">
            <v>47502101</v>
          </cell>
          <cell r="B3191">
            <v>5</v>
          </cell>
        </row>
        <row r="3192">
          <cell r="A3192" t="str">
            <v>47503310</v>
          </cell>
          <cell r="B3192">
            <v>6</v>
          </cell>
        </row>
        <row r="3193">
          <cell r="A3193" t="str">
            <v>47503839</v>
          </cell>
          <cell r="B3193">
            <v>4</v>
          </cell>
        </row>
        <row r="3194">
          <cell r="A3194" t="str">
            <v>47507976</v>
          </cell>
          <cell r="B3194">
            <v>9</v>
          </cell>
        </row>
        <row r="3195">
          <cell r="A3195" t="str">
            <v>47508443</v>
          </cell>
          <cell r="B3195">
            <v>17</v>
          </cell>
        </row>
        <row r="3196">
          <cell r="A3196" t="str">
            <v>47515915</v>
          </cell>
          <cell r="B3196">
            <v>5</v>
          </cell>
        </row>
        <row r="3197">
          <cell r="A3197" t="str">
            <v>47518705</v>
          </cell>
          <cell r="B3197">
            <v>3</v>
          </cell>
        </row>
        <row r="3198">
          <cell r="A3198" t="str">
            <v>47522590</v>
          </cell>
          <cell r="B3198">
            <v>2</v>
          </cell>
        </row>
        <row r="3199">
          <cell r="A3199" t="str">
            <v>47523367</v>
          </cell>
          <cell r="B3199">
            <v>1</v>
          </cell>
        </row>
        <row r="3200">
          <cell r="A3200" t="str">
            <v>47526541</v>
          </cell>
          <cell r="B3200">
            <v>5</v>
          </cell>
        </row>
        <row r="3201">
          <cell r="A3201" t="str">
            <v>47533569</v>
          </cell>
          <cell r="B3201">
            <v>25</v>
          </cell>
        </row>
        <row r="3202">
          <cell r="A3202" t="str">
            <v>47534599</v>
          </cell>
          <cell r="B3202">
            <v>1</v>
          </cell>
        </row>
        <row r="3203">
          <cell r="A3203" t="str">
            <v>47536939</v>
          </cell>
          <cell r="B3203">
            <v>4</v>
          </cell>
        </row>
        <row r="3204">
          <cell r="A3204" t="str">
            <v>47537263</v>
          </cell>
          <cell r="B3204">
            <v>30</v>
          </cell>
        </row>
        <row r="3205">
          <cell r="A3205" t="str">
            <v>47538272</v>
          </cell>
          <cell r="B3205">
            <v>9</v>
          </cell>
        </row>
        <row r="3206">
          <cell r="A3206" t="str">
            <v>47540328</v>
          </cell>
          <cell r="B3206">
            <v>9</v>
          </cell>
        </row>
        <row r="3207">
          <cell r="A3207" t="str">
            <v>47541485</v>
          </cell>
          <cell r="B3207">
            <v>1</v>
          </cell>
        </row>
        <row r="3208">
          <cell r="A3208" t="str">
            <v>47541763</v>
          </cell>
          <cell r="B3208">
            <v>17</v>
          </cell>
        </row>
        <row r="3209">
          <cell r="A3209" t="str">
            <v>47544786</v>
          </cell>
          <cell r="B3209">
            <v>3</v>
          </cell>
        </row>
        <row r="3210">
          <cell r="A3210" t="str">
            <v>47546768</v>
          </cell>
          <cell r="B3210">
            <v>5</v>
          </cell>
        </row>
        <row r="3211">
          <cell r="A3211" t="str">
            <v>47555075</v>
          </cell>
          <cell r="B3211">
            <v>67</v>
          </cell>
        </row>
        <row r="3212">
          <cell r="A3212" t="str">
            <v>47555687</v>
          </cell>
          <cell r="B3212">
            <v>1</v>
          </cell>
        </row>
        <row r="3213">
          <cell r="A3213" t="str">
            <v>47563392</v>
          </cell>
          <cell r="B3213">
            <v>3</v>
          </cell>
        </row>
        <row r="3214">
          <cell r="A3214" t="str">
            <v>47564034</v>
          </cell>
          <cell r="B3214">
            <v>12</v>
          </cell>
        </row>
        <row r="3215">
          <cell r="A3215" t="str">
            <v>47568379</v>
          </cell>
          <cell r="B3215">
            <v>1</v>
          </cell>
        </row>
        <row r="3216">
          <cell r="A3216" t="str">
            <v>47574152</v>
          </cell>
          <cell r="B3216">
            <v>2</v>
          </cell>
        </row>
        <row r="3217">
          <cell r="A3217" t="str">
            <v>47581225</v>
          </cell>
          <cell r="B3217">
            <v>3</v>
          </cell>
        </row>
        <row r="3218">
          <cell r="A3218" t="str">
            <v>47584488</v>
          </cell>
          <cell r="B3218">
            <v>13</v>
          </cell>
        </row>
        <row r="3219">
          <cell r="A3219" t="str">
            <v>47584802</v>
          </cell>
          <cell r="B3219">
            <v>1</v>
          </cell>
        </row>
        <row r="3220">
          <cell r="A3220" t="str">
            <v>47596659</v>
          </cell>
          <cell r="B3220">
            <v>1</v>
          </cell>
        </row>
        <row r="3221">
          <cell r="A3221" t="str">
            <v>47598596</v>
          </cell>
          <cell r="B3221">
            <v>19</v>
          </cell>
        </row>
        <row r="3222">
          <cell r="A3222" t="str">
            <v>47598709</v>
          </cell>
          <cell r="B3222">
            <v>10</v>
          </cell>
        </row>
        <row r="3223">
          <cell r="A3223" t="str">
            <v>47601727</v>
          </cell>
          <cell r="B3223">
            <v>5</v>
          </cell>
        </row>
        <row r="3224">
          <cell r="A3224" t="str">
            <v>47612828</v>
          </cell>
          <cell r="B3224">
            <v>16</v>
          </cell>
        </row>
        <row r="3225">
          <cell r="A3225" t="str">
            <v>47620510</v>
          </cell>
          <cell r="B3225">
            <v>5</v>
          </cell>
        </row>
        <row r="3226">
          <cell r="A3226" t="str">
            <v>47621613</v>
          </cell>
          <cell r="B3226">
            <v>15</v>
          </cell>
        </row>
        <row r="3227">
          <cell r="A3227" t="str">
            <v>47624536</v>
          </cell>
          <cell r="B3227">
            <v>5</v>
          </cell>
        </row>
        <row r="3228">
          <cell r="A3228" t="str">
            <v>47626026</v>
          </cell>
          <cell r="B3228">
            <v>1</v>
          </cell>
        </row>
        <row r="3229">
          <cell r="A3229" t="str">
            <v>47626697</v>
          </cell>
          <cell r="B3229">
            <v>9</v>
          </cell>
        </row>
        <row r="3230">
          <cell r="A3230" t="str">
            <v>47627789</v>
          </cell>
          <cell r="B3230">
            <v>2</v>
          </cell>
        </row>
        <row r="3231">
          <cell r="A3231" t="str">
            <v>47628999</v>
          </cell>
          <cell r="B3231">
            <v>4</v>
          </cell>
        </row>
        <row r="3232">
          <cell r="A3232" t="str">
            <v>47629344</v>
          </cell>
          <cell r="B3232">
            <v>8</v>
          </cell>
        </row>
        <row r="3233">
          <cell r="A3233" t="str">
            <v>47638538</v>
          </cell>
          <cell r="B3233">
            <v>24</v>
          </cell>
        </row>
        <row r="3234">
          <cell r="A3234" t="str">
            <v>47640897</v>
          </cell>
          <cell r="B3234">
            <v>10</v>
          </cell>
        </row>
        <row r="3235">
          <cell r="A3235" t="str">
            <v>47646277</v>
          </cell>
          <cell r="B3235">
            <v>2</v>
          </cell>
        </row>
        <row r="3236">
          <cell r="A3236" t="str">
            <v>47649239</v>
          </cell>
          <cell r="B3236">
            <v>7</v>
          </cell>
        </row>
        <row r="3237">
          <cell r="A3237" t="str">
            <v>47676475</v>
          </cell>
          <cell r="B3237">
            <v>22</v>
          </cell>
        </row>
        <row r="3238">
          <cell r="A3238" t="str">
            <v>47682782</v>
          </cell>
          <cell r="B3238">
            <v>3</v>
          </cell>
        </row>
        <row r="3239">
          <cell r="A3239" t="str">
            <v>47683866</v>
          </cell>
          <cell r="B3239">
            <v>1</v>
          </cell>
        </row>
        <row r="3240">
          <cell r="A3240" t="str">
            <v>47691608</v>
          </cell>
          <cell r="B3240">
            <v>6</v>
          </cell>
        </row>
        <row r="3241">
          <cell r="A3241" t="str">
            <v>47694612</v>
          </cell>
          <cell r="B3241">
            <v>5</v>
          </cell>
        </row>
        <row r="3242">
          <cell r="A3242" t="str">
            <v>47696702</v>
          </cell>
          <cell r="B3242">
            <v>9</v>
          </cell>
        </row>
        <row r="3243">
          <cell r="A3243" t="str">
            <v>47696850</v>
          </cell>
          <cell r="B3243">
            <v>5</v>
          </cell>
        </row>
        <row r="3244">
          <cell r="A3244" t="str">
            <v>47697752</v>
          </cell>
          <cell r="B3244">
            <v>6</v>
          </cell>
        </row>
        <row r="3245">
          <cell r="A3245" t="str">
            <v>47711822</v>
          </cell>
          <cell r="B3245">
            <v>1</v>
          </cell>
        </row>
        <row r="3246">
          <cell r="A3246" t="str">
            <v>47714818</v>
          </cell>
          <cell r="B3246">
            <v>7</v>
          </cell>
        </row>
        <row r="3247">
          <cell r="A3247" t="str">
            <v>47716540</v>
          </cell>
          <cell r="B3247">
            <v>2</v>
          </cell>
        </row>
        <row r="3248">
          <cell r="A3248" t="str">
            <v>47717522</v>
          </cell>
          <cell r="B3248">
            <v>14</v>
          </cell>
        </row>
        <row r="3249">
          <cell r="A3249" t="str">
            <v>47718935</v>
          </cell>
          <cell r="B3249">
            <v>1</v>
          </cell>
        </row>
        <row r="3250">
          <cell r="A3250" t="str">
            <v>47719946</v>
          </cell>
          <cell r="B3250">
            <v>2</v>
          </cell>
        </row>
        <row r="3251">
          <cell r="A3251" t="str">
            <v>47724499</v>
          </cell>
          <cell r="B3251">
            <v>27</v>
          </cell>
        </row>
        <row r="3252">
          <cell r="A3252" t="str">
            <v>47726362</v>
          </cell>
          <cell r="B3252">
            <v>7</v>
          </cell>
        </row>
        <row r="3253">
          <cell r="A3253" t="str">
            <v>47736753</v>
          </cell>
          <cell r="B3253">
            <v>1</v>
          </cell>
        </row>
        <row r="3254">
          <cell r="A3254" t="str">
            <v>47738598</v>
          </cell>
          <cell r="B3254">
            <v>51</v>
          </cell>
        </row>
        <row r="3255">
          <cell r="A3255" t="str">
            <v>47740418</v>
          </cell>
          <cell r="B3255">
            <v>8</v>
          </cell>
        </row>
        <row r="3256">
          <cell r="A3256" t="str">
            <v>47741163</v>
          </cell>
          <cell r="B3256">
            <v>1</v>
          </cell>
        </row>
        <row r="3257">
          <cell r="A3257" t="str">
            <v>47744493</v>
          </cell>
          <cell r="B3257">
            <v>10</v>
          </cell>
        </row>
        <row r="3258">
          <cell r="A3258" t="str">
            <v>47744617</v>
          </cell>
          <cell r="B3258">
            <v>1</v>
          </cell>
        </row>
        <row r="3259">
          <cell r="A3259" t="str">
            <v>47753387</v>
          </cell>
          <cell r="B3259">
            <v>12</v>
          </cell>
        </row>
        <row r="3260">
          <cell r="A3260" t="str">
            <v>47757261</v>
          </cell>
          <cell r="B3260">
            <v>9</v>
          </cell>
        </row>
        <row r="3261">
          <cell r="A3261" t="str">
            <v>47760039</v>
          </cell>
          <cell r="B3261">
            <v>4</v>
          </cell>
        </row>
        <row r="3262">
          <cell r="A3262" t="str">
            <v>47765548</v>
          </cell>
          <cell r="B3262">
            <v>97</v>
          </cell>
        </row>
        <row r="3263">
          <cell r="A3263" t="str">
            <v>47766599</v>
          </cell>
          <cell r="B3263">
            <v>1</v>
          </cell>
        </row>
        <row r="3264">
          <cell r="A3264" t="str">
            <v>47788531</v>
          </cell>
          <cell r="B3264">
            <v>10</v>
          </cell>
        </row>
        <row r="3265">
          <cell r="A3265" t="str">
            <v>47799944</v>
          </cell>
          <cell r="B3265">
            <v>2</v>
          </cell>
        </row>
        <row r="3266">
          <cell r="A3266" t="str">
            <v>47801114</v>
          </cell>
          <cell r="B3266">
            <v>3</v>
          </cell>
        </row>
        <row r="3267">
          <cell r="A3267" t="str">
            <v>47803014</v>
          </cell>
          <cell r="B3267">
            <v>2</v>
          </cell>
        </row>
        <row r="3268">
          <cell r="A3268" t="str">
            <v>47805319</v>
          </cell>
          <cell r="B3268">
            <v>3</v>
          </cell>
        </row>
        <row r="3269">
          <cell r="A3269" t="str">
            <v>47808823</v>
          </cell>
          <cell r="B3269">
            <v>5</v>
          </cell>
        </row>
        <row r="3270">
          <cell r="A3270" t="str">
            <v>47814964</v>
          </cell>
          <cell r="B3270">
            <v>75</v>
          </cell>
        </row>
        <row r="3271">
          <cell r="A3271" t="str">
            <v>47816030</v>
          </cell>
          <cell r="B3271">
            <v>11</v>
          </cell>
        </row>
        <row r="3272">
          <cell r="A3272" t="str">
            <v>47819068</v>
          </cell>
          <cell r="B3272">
            <v>50</v>
          </cell>
        </row>
        <row r="3273">
          <cell r="A3273" t="str">
            <v>47819632</v>
          </cell>
          <cell r="B3273">
            <v>11</v>
          </cell>
        </row>
        <row r="3274">
          <cell r="A3274" t="str">
            <v>47822510</v>
          </cell>
          <cell r="B3274">
            <v>6</v>
          </cell>
        </row>
        <row r="3275">
          <cell r="A3275" t="str">
            <v>47830102</v>
          </cell>
          <cell r="B3275">
            <v>1</v>
          </cell>
        </row>
        <row r="3276">
          <cell r="A3276" t="str">
            <v>47830238</v>
          </cell>
          <cell r="B3276">
            <v>3</v>
          </cell>
        </row>
        <row r="3277">
          <cell r="A3277" t="str">
            <v>47834495</v>
          </cell>
          <cell r="B3277">
            <v>3</v>
          </cell>
        </row>
        <row r="3278">
          <cell r="A3278" t="str">
            <v>47837100</v>
          </cell>
          <cell r="B3278">
            <v>38</v>
          </cell>
        </row>
        <row r="3279">
          <cell r="A3279" t="str">
            <v>47837141</v>
          </cell>
          <cell r="B3279">
            <v>3</v>
          </cell>
        </row>
        <row r="3280">
          <cell r="A3280" t="str">
            <v>47843427</v>
          </cell>
          <cell r="B3280">
            <v>28</v>
          </cell>
        </row>
        <row r="3281">
          <cell r="A3281" t="str">
            <v>47843844</v>
          </cell>
          <cell r="B3281">
            <v>21</v>
          </cell>
        </row>
        <row r="3282">
          <cell r="A3282" t="str">
            <v>47846494</v>
          </cell>
          <cell r="B3282">
            <v>1</v>
          </cell>
        </row>
        <row r="3283">
          <cell r="A3283" t="str">
            <v>47846808</v>
          </cell>
          <cell r="B3283">
            <v>5</v>
          </cell>
        </row>
        <row r="3284">
          <cell r="A3284" t="str">
            <v>47854624</v>
          </cell>
          <cell r="B3284">
            <v>3</v>
          </cell>
        </row>
        <row r="3285">
          <cell r="A3285" t="str">
            <v>47862345</v>
          </cell>
          <cell r="B3285">
            <v>13</v>
          </cell>
        </row>
        <row r="3286">
          <cell r="A3286" t="str">
            <v>47865228</v>
          </cell>
          <cell r="B3286">
            <v>37</v>
          </cell>
        </row>
        <row r="3287">
          <cell r="A3287" t="str">
            <v>47870190</v>
          </cell>
          <cell r="B3287">
            <v>39</v>
          </cell>
        </row>
        <row r="3288">
          <cell r="A3288" t="str">
            <v>47870217</v>
          </cell>
          <cell r="B3288">
            <v>4</v>
          </cell>
        </row>
        <row r="3289">
          <cell r="A3289" t="str">
            <v>47870339</v>
          </cell>
          <cell r="B3289">
            <v>6</v>
          </cell>
        </row>
        <row r="3290">
          <cell r="A3290" t="str">
            <v>47870865</v>
          </cell>
          <cell r="B3290">
            <v>9</v>
          </cell>
        </row>
        <row r="3291">
          <cell r="A3291" t="str">
            <v>47873828</v>
          </cell>
          <cell r="B3291">
            <v>6</v>
          </cell>
        </row>
        <row r="3292">
          <cell r="A3292" t="str">
            <v>47874772</v>
          </cell>
          <cell r="B3292">
            <v>99</v>
          </cell>
        </row>
        <row r="3293">
          <cell r="A3293" t="str">
            <v>47876120</v>
          </cell>
          <cell r="B3293">
            <v>7</v>
          </cell>
        </row>
        <row r="3294">
          <cell r="A3294" t="str">
            <v>47879694</v>
          </cell>
          <cell r="B3294">
            <v>11</v>
          </cell>
        </row>
        <row r="3295">
          <cell r="A3295" t="str">
            <v>47880257</v>
          </cell>
          <cell r="B3295">
            <v>6</v>
          </cell>
        </row>
        <row r="3296">
          <cell r="A3296" t="str">
            <v>47884163</v>
          </cell>
          <cell r="B3296">
            <v>3</v>
          </cell>
        </row>
        <row r="3297">
          <cell r="A3297" t="str">
            <v>47887316</v>
          </cell>
          <cell r="B3297">
            <v>14</v>
          </cell>
        </row>
        <row r="3298">
          <cell r="A3298" t="str">
            <v>47888188</v>
          </cell>
          <cell r="B3298">
            <v>1</v>
          </cell>
        </row>
        <row r="3299">
          <cell r="A3299" t="str">
            <v>47891537</v>
          </cell>
          <cell r="B3299">
            <v>14</v>
          </cell>
        </row>
        <row r="3300">
          <cell r="A3300" t="str">
            <v>47897601</v>
          </cell>
          <cell r="B3300">
            <v>2</v>
          </cell>
        </row>
        <row r="3301">
          <cell r="A3301" t="str">
            <v>47900245</v>
          </cell>
          <cell r="B3301">
            <v>11</v>
          </cell>
        </row>
        <row r="3302">
          <cell r="A3302" t="str">
            <v>47901893</v>
          </cell>
          <cell r="B3302">
            <v>6</v>
          </cell>
        </row>
        <row r="3303">
          <cell r="A3303" t="str">
            <v>47903255</v>
          </cell>
          <cell r="B3303">
            <v>41</v>
          </cell>
        </row>
        <row r="3304">
          <cell r="A3304" t="str">
            <v>47912861</v>
          </cell>
          <cell r="B3304">
            <v>2</v>
          </cell>
        </row>
        <row r="3305">
          <cell r="A3305" t="str">
            <v>47914728</v>
          </cell>
          <cell r="B3305">
            <v>11</v>
          </cell>
        </row>
        <row r="3306">
          <cell r="A3306" t="str">
            <v>47923716</v>
          </cell>
          <cell r="B3306">
            <v>1</v>
          </cell>
        </row>
        <row r="3307">
          <cell r="A3307" t="str">
            <v>47929672</v>
          </cell>
          <cell r="B3307">
            <v>4</v>
          </cell>
        </row>
        <row r="3308">
          <cell r="A3308" t="str">
            <v>47929863</v>
          </cell>
          <cell r="B3308">
            <v>18</v>
          </cell>
        </row>
        <row r="3309">
          <cell r="A3309" t="str">
            <v>47934948</v>
          </cell>
          <cell r="B3309">
            <v>15</v>
          </cell>
        </row>
        <row r="3310">
          <cell r="A3310" t="str">
            <v>47936049</v>
          </cell>
          <cell r="B3310">
            <v>4</v>
          </cell>
        </row>
        <row r="3311">
          <cell r="A3311" t="str">
            <v>47938670</v>
          </cell>
          <cell r="B3311">
            <v>5</v>
          </cell>
        </row>
        <row r="3312">
          <cell r="A3312" t="str">
            <v>47945765</v>
          </cell>
          <cell r="B3312">
            <v>16</v>
          </cell>
        </row>
        <row r="3313">
          <cell r="A3313" t="str">
            <v>47951623</v>
          </cell>
          <cell r="B3313">
            <v>7</v>
          </cell>
        </row>
        <row r="3314">
          <cell r="A3314" t="str">
            <v>47951660</v>
          </cell>
          <cell r="B3314">
            <v>58</v>
          </cell>
        </row>
        <row r="3315">
          <cell r="A3315" t="str">
            <v>47954685</v>
          </cell>
          <cell r="B3315">
            <v>6</v>
          </cell>
        </row>
        <row r="3316">
          <cell r="A3316" t="str">
            <v>47957921</v>
          </cell>
          <cell r="B3316">
            <v>5</v>
          </cell>
        </row>
        <row r="3317">
          <cell r="A3317" t="str">
            <v>47966605</v>
          </cell>
          <cell r="B3317">
            <v>1</v>
          </cell>
        </row>
        <row r="3318">
          <cell r="A3318" t="str">
            <v>47967241</v>
          </cell>
          <cell r="B3318">
            <v>4</v>
          </cell>
        </row>
        <row r="3319">
          <cell r="A3319" t="str">
            <v>47967450</v>
          </cell>
          <cell r="B3319">
            <v>1</v>
          </cell>
        </row>
        <row r="3320">
          <cell r="A3320" t="str">
            <v>47968049</v>
          </cell>
          <cell r="B3320">
            <v>2</v>
          </cell>
        </row>
        <row r="3321">
          <cell r="A3321" t="str">
            <v>47969319</v>
          </cell>
          <cell r="B3321">
            <v>9</v>
          </cell>
        </row>
        <row r="3322">
          <cell r="A3322" t="str">
            <v>47976492</v>
          </cell>
          <cell r="B3322">
            <v>11</v>
          </cell>
        </row>
        <row r="3323">
          <cell r="A3323" t="str">
            <v>47977633</v>
          </cell>
          <cell r="B3323">
            <v>2</v>
          </cell>
        </row>
        <row r="3324">
          <cell r="A3324" t="str">
            <v>47978353</v>
          </cell>
          <cell r="B3324">
            <v>7</v>
          </cell>
        </row>
        <row r="3325">
          <cell r="A3325" t="str">
            <v>47992905</v>
          </cell>
          <cell r="B3325">
            <v>21</v>
          </cell>
        </row>
        <row r="3326">
          <cell r="A3326" t="str">
            <v>47993482</v>
          </cell>
          <cell r="B3326">
            <v>22</v>
          </cell>
        </row>
        <row r="3327">
          <cell r="A3327" t="str">
            <v>47994250</v>
          </cell>
          <cell r="B3327">
            <v>9</v>
          </cell>
        </row>
        <row r="3328">
          <cell r="A3328" t="str">
            <v>47999828</v>
          </cell>
          <cell r="B3328">
            <v>31</v>
          </cell>
        </row>
        <row r="3329">
          <cell r="A3329" t="str">
            <v>48006532</v>
          </cell>
          <cell r="B3329">
            <v>1</v>
          </cell>
        </row>
        <row r="3330">
          <cell r="A3330" t="str">
            <v>48007323</v>
          </cell>
          <cell r="B3330">
            <v>3</v>
          </cell>
        </row>
        <row r="3331">
          <cell r="A3331" t="str">
            <v>48014642</v>
          </cell>
          <cell r="B3331">
            <v>2</v>
          </cell>
        </row>
        <row r="3332">
          <cell r="A3332" t="str">
            <v>48015050</v>
          </cell>
          <cell r="B3332">
            <v>15</v>
          </cell>
        </row>
        <row r="3333">
          <cell r="A3333" t="str">
            <v>48021612</v>
          </cell>
          <cell r="B3333">
            <v>4</v>
          </cell>
        </row>
        <row r="3334">
          <cell r="A3334" t="str">
            <v>48029591</v>
          </cell>
          <cell r="B3334">
            <v>1</v>
          </cell>
        </row>
        <row r="3335">
          <cell r="A3335" t="str">
            <v>48030846</v>
          </cell>
          <cell r="B3335">
            <v>1</v>
          </cell>
        </row>
        <row r="3336">
          <cell r="A3336" t="str">
            <v>48038176</v>
          </cell>
          <cell r="B3336">
            <v>10</v>
          </cell>
        </row>
        <row r="3337">
          <cell r="A3337" t="str">
            <v>48038617</v>
          </cell>
          <cell r="B3337">
            <v>7</v>
          </cell>
        </row>
        <row r="3338">
          <cell r="A3338" t="str">
            <v>48039433</v>
          </cell>
          <cell r="B3338">
            <v>19</v>
          </cell>
        </row>
        <row r="3339">
          <cell r="A3339" t="str">
            <v>48039954</v>
          </cell>
          <cell r="B3339">
            <v>5</v>
          </cell>
        </row>
        <row r="3340">
          <cell r="A3340" t="str">
            <v>48041985</v>
          </cell>
          <cell r="B3340">
            <v>4</v>
          </cell>
        </row>
        <row r="3341">
          <cell r="A3341" t="str">
            <v>48042712</v>
          </cell>
          <cell r="B3341">
            <v>4</v>
          </cell>
        </row>
        <row r="3342">
          <cell r="A3342" t="str">
            <v>48054189</v>
          </cell>
          <cell r="B3342">
            <v>15</v>
          </cell>
        </row>
        <row r="3343">
          <cell r="A3343" t="str">
            <v>48060111</v>
          </cell>
          <cell r="B3343">
            <v>2</v>
          </cell>
        </row>
        <row r="3344">
          <cell r="A3344" t="str">
            <v>48066026</v>
          </cell>
          <cell r="B3344">
            <v>2</v>
          </cell>
        </row>
        <row r="3345">
          <cell r="A3345" t="str">
            <v>48072780</v>
          </cell>
          <cell r="B3345">
            <v>1</v>
          </cell>
        </row>
        <row r="3346">
          <cell r="A3346" t="str">
            <v>48076204</v>
          </cell>
          <cell r="B3346">
            <v>4</v>
          </cell>
        </row>
        <row r="3347">
          <cell r="A3347" t="str">
            <v>48079499</v>
          </cell>
          <cell r="B3347">
            <v>6</v>
          </cell>
        </row>
        <row r="3348">
          <cell r="A3348" t="str">
            <v>48081594</v>
          </cell>
          <cell r="B3348">
            <v>14</v>
          </cell>
        </row>
        <row r="3349">
          <cell r="A3349" t="str">
            <v>48082608</v>
          </cell>
          <cell r="B3349">
            <v>8</v>
          </cell>
        </row>
        <row r="3350">
          <cell r="A3350" t="str">
            <v>48082812</v>
          </cell>
          <cell r="B3350">
            <v>13</v>
          </cell>
        </row>
        <row r="3351">
          <cell r="A3351" t="str">
            <v>48096533</v>
          </cell>
          <cell r="B3351">
            <v>1</v>
          </cell>
        </row>
        <row r="3352">
          <cell r="A3352" t="str">
            <v>48099017</v>
          </cell>
          <cell r="B3352">
            <v>4</v>
          </cell>
        </row>
        <row r="3353">
          <cell r="A3353" t="str">
            <v>48103318</v>
          </cell>
          <cell r="B3353">
            <v>4</v>
          </cell>
        </row>
        <row r="3354">
          <cell r="A3354" t="str">
            <v>48128549</v>
          </cell>
          <cell r="B3354">
            <v>8</v>
          </cell>
        </row>
        <row r="3355">
          <cell r="A3355" t="str">
            <v>48129130</v>
          </cell>
          <cell r="B3355">
            <v>6</v>
          </cell>
        </row>
        <row r="3356">
          <cell r="A3356" t="str">
            <v>48129288</v>
          </cell>
          <cell r="B3356">
            <v>1</v>
          </cell>
        </row>
        <row r="3357">
          <cell r="A3357" t="str">
            <v>48134602</v>
          </cell>
          <cell r="B3357">
            <v>11</v>
          </cell>
        </row>
        <row r="3358">
          <cell r="A3358" t="str">
            <v>48138419</v>
          </cell>
          <cell r="B3358">
            <v>11</v>
          </cell>
        </row>
        <row r="3359">
          <cell r="A3359" t="str">
            <v>48140600</v>
          </cell>
          <cell r="B3359">
            <v>19</v>
          </cell>
        </row>
        <row r="3360">
          <cell r="A3360" t="str">
            <v>48150930</v>
          </cell>
          <cell r="B3360">
            <v>3</v>
          </cell>
        </row>
        <row r="3361">
          <cell r="A3361" t="str">
            <v>48150933</v>
          </cell>
          <cell r="B3361">
            <v>10</v>
          </cell>
        </row>
        <row r="3362">
          <cell r="A3362" t="str">
            <v>48152585</v>
          </cell>
          <cell r="B3362">
            <v>75</v>
          </cell>
        </row>
        <row r="3363">
          <cell r="A3363" t="str">
            <v>48152831</v>
          </cell>
          <cell r="B3363">
            <v>3</v>
          </cell>
        </row>
        <row r="3364">
          <cell r="A3364" t="str">
            <v>48154698</v>
          </cell>
          <cell r="B3364">
            <v>9</v>
          </cell>
        </row>
        <row r="3365">
          <cell r="A3365" t="str">
            <v>48161758</v>
          </cell>
          <cell r="B3365">
            <v>89</v>
          </cell>
        </row>
        <row r="3366">
          <cell r="A3366" t="str">
            <v>48161982</v>
          </cell>
          <cell r="B3366">
            <v>4</v>
          </cell>
        </row>
        <row r="3367">
          <cell r="A3367" t="str">
            <v>48163308</v>
          </cell>
          <cell r="B3367">
            <v>2</v>
          </cell>
        </row>
        <row r="3368">
          <cell r="A3368" t="str">
            <v>48164487</v>
          </cell>
          <cell r="B3368">
            <v>2</v>
          </cell>
        </row>
        <row r="3369">
          <cell r="A3369" t="str">
            <v>48167923</v>
          </cell>
          <cell r="B3369">
            <v>10</v>
          </cell>
        </row>
        <row r="3370">
          <cell r="A3370" t="str">
            <v>48176435</v>
          </cell>
          <cell r="B3370">
            <v>4</v>
          </cell>
        </row>
        <row r="3371">
          <cell r="A3371" t="str">
            <v>48177649</v>
          </cell>
          <cell r="B3371">
            <v>14</v>
          </cell>
        </row>
        <row r="3372">
          <cell r="A3372" t="str">
            <v>48177999</v>
          </cell>
          <cell r="B3372">
            <v>20</v>
          </cell>
        </row>
        <row r="3373">
          <cell r="A3373" t="str">
            <v>48179584</v>
          </cell>
          <cell r="B3373">
            <v>3</v>
          </cell>
        </row>
        <row r="3374">
          <cell r="A3374" t="str">
            <v>48180501</v>
          </cell>
          <cell r="B3374">
            <v>64</v>
          </cell>
        </row>
        <row r="3375">
          <cell r="A3375" t="str">
            <v>48181813</v>
          </cell>
          <cell r="B3375">
            <v>8</v>
          </cell>
        </row>
        <row r="3376">
          <cell r="A3376" t="str">
            <v>48182934</v>
          </cell>
          <cell r="B3376">
            <v>79</v>
          </cell>
        </row>
        <row r="3377">
          <cell r="A3377" t="str">
            <v>48187420</v>
          </cell>
          <cell r="B3377">
            <v>4</v>
          </cell>
        </row>
        <row r="3378">
          <cell r="A3378" t="str">
            <v>48187649</v>
          </cell>
          <cell r="B3378">
            <v>2</v>
          </cell>
        </row>
        <row r="3379">
          <cell r="A3379" t="str">
            <v>48187873</v>
          </cell>
          <cell r="B3379">
            <v>9</v>
          </cell>
        </row>
        <row r="3380">
          <cell r="A3380" t="str">
            <v>48188049</v>
          </cell>
          <cell r="B3380">
            <v>10</v>
          </cell>
        </row>
        <row r="3381">
          <cell r="A3381" t="str">
            <v>48202787</v>
          </cell>
          <cell r="B3381">
            <v>3</v>
          </cell>
        </row>
        <row r="3382">
          <cell r="A3382" t="str">
            <v>48202796</v>
          </cell>
          <cell r="B3382">
            <v>1</v>
          </cell>
        </row>
        <row r="3383">
          <cell r="A3383" t="str">
            <v>48203024</v>
          </cell>
          <cell r="B3383">
            <v>4</v>
          </cell>
        </row>
        <row r="3384">
          <cell r="A3384" t="str">
            <v>48203198</v>
          </cell>
          <cell r="B3384">
            <v>4</v>
          </cell>
        </row>
        <row r="3385">
          <cell r="A3385" t="str">
            <v>48204333</v>
          </cell>
          <cell r="B3385">
            <v>9</v>
          </cell>
        </row>
        <row r="3386">
          <cell r="A3386" t="str">
            <v>48209179</v>
          </cell>
          <cell r="B3386">
            <v>30</v>
          </cell>
        </row>
        <row r="3387">
          <cell r="A3387" t="str">
            <v>48209494</v>
          </cell>
          <cell r="B3387">
            <v>3</v>
          </cell>
        </row>
        <row r="3388">
          <cell r="A3388" t="str">
            <v>48214035</v>
          </cell>
          <cell r="B3388">
            <v>3</v>
          </cell>
        </row>
        <row r="3389">
          <cell r="A3389" t="str">
            <v>48218950</v>
          </cell>
          <cell r="B3389">
            <v>8</v>
          </cell>
        </row>
        <row r="3390">
          <cell r="A3390" t="str">
            <v>48221004</v>
          </cell>
          <cell r="B3390">
            <v>6</v>
          </cell>
        </row>
        <row r="3391">
          <cell r="A3391" t="str">
            <v>48224889</v>
          </cell>
          <cell r="B3391">
            <v>8</v>
          </cell>
        </row>
        <row r="3392">
          <cell r="A3392" t="str">
            <v>48229235</v>
          </cell>
          <cell r="B3392">
            <v>36</v>
          </cell>
        </row>
        <row r="3393">
          <cell r="A3393" t="str">
            <v>48229274</v>
          </cell>
          <cell r="B3393">
            <v>10</v>
          </cell>
        </row>
        <row r="3394">
          <cell r="A3394" t="str">
            <v>48229586</v>
          </cell>
          <cell r="B3394">
            <v>1</v>
          </cell>
        </row>
        <row r="3395">
          <cell r="A3395" t="str">
            <v>48231400</v>
          </cell>
          <cell r="B3395">
            <v>9</v>
          </cell>
        </row>
        <row r="3396">
          <cell r="A3396" t="str">
            <v>48231683</v>
          </cell>
          <cell r="B3396">
            <v>10</v>
          </cell>
        </row>
        <row r="3397">
          <cell r="A3397" t="str">
            <v>48236138</v>
          </cell>
          <cell r="B3397">
            <v>5</v>
          </cell>
        </row>
        <row r="3398">
          <cell r="A3398" t="str">
            <v>48239019</v>
          </cell>
          <cell r="B3398">
            <v>21</v>
          </cell>
        </row>
        <row r="3399">
          <cell r="A3399" t="str">
            <v>48246160</v>
          </cell>
          <cell r="B3399">
            <v>3</v>
          </cell>
        </row>
        <row r="3400">
          <cell r="A3400" t="str">
            <v>48248134</v>
          </cell>
          <cell r="B3400">
            <v>3</v>
          </cell>
        </row>
        <row r="3401">
          <cell r="A3401" t="str">
            <v>48248972</v>
          </cell>
          <cell r="B3401">
            <v>16</v>
          </cell>
        </row>
        <row r="3402">
          <cell r="A3402" t="str">
            <v>48254659</v>
          </cell>
          <cell r="B3402">
            <v>3</v>
          </cell>
        </row>
        <row r="3403">
          <cell r="A3403" t="str">
            <v>48259234</v>
          </cell>
          <cell r="B3403">
            <v>7</v>
          </cell>
        </row>
        <row r="3404">
          <cell r="A3404" t="str">
            <v>48273972</v>
          </cell>
          <cell r="B3404">
            <v>5</v>
          </cell>
        </row>
        <row r="3405">
          <cell r="A3405" t="str">
            <v>48276039</v>
          </cell>
          <cell r="B3405">
            <v>4</v>
          </cell>
        </row>
        <row r="3406">
          <cell r="A3406" t="str">
            <v>48281410</v>
          </cell>
          <cell r="B3406">
            <v>3</v>
          </cell>
        </row>
        <row r="3407">
          <cell r="A3407" t="str">
            <v>48291948</v>
          </cell>
          <cell r="B3407">
            <v>2</v>
          </cell>
        </row>
        <row r="3408">
          <cell r="A3408" t="str">
            <v>48292877</v>
          </cell>
          <cell r="B3408">
            <v>2</v>
          </cell>
        </row>
        <row r="3409">
          <cell r="A3409" t="str">
            <v>48298031</v>
          </cell>
          <cell r="B3409">
            <v>5</v>
          </cell>
        </row>
        <row r="3410">
          <cell r="A3410" t="str">
            <v>48299018</v>
          </cell>
          <cell r="B3410">
            <v>4</v>
          </cell>
        </row>
        <row r="3411">
          <cell r="A3411" t="str">
            <v>48299026</v>
          </cell>
          <cell r="B3411">
            <v>1</v>
          </cell>
        </row>
        <row r="3412">
          <cell r="A3412" t="str">
            <v>48301804</v>
          </cell>
          <cell r="B3412">
            <v>2</v>
          </cell>
        </row>
        <row r="3413">
          <cell r="A3413" t="str">
            <v>48304174</v>
          </cell>
          <cell r="B3413">
            <v>7</v>
          </cell>
        </row>
        <row r="3414">
          <cell r="A3414" t="str">
            <v>48306281</v>
          </cell>
          <cell r="B3414">
            <v>4</v>
          </cell>
        </row>
        <row r="3415">
          <cell r="A3415" t="str">
            <v>48310643</v>
          </cell>
          <cell r="B3415">
            <v>2</v>
          </cell>
        </row>
        <row r="3416">
          <cell r="A3416" t="str">
            <v>48313007</v>
          </cell>
          <cell r="B3416">
            <v>18</v>
          </cell>
        </row>
        <row r="3417">
          <cell r="A3417" t="str">
            <v>48316624</v>
          </cell>
          <cell r="B3417">
            <v>1</v>
          </cell>
        </row>
        <row r="3418">
          <cell r="A3418" t="str">
            <v>48318051</v>
          </cell>
          <cell r="B3418">
            <v>3</v>
          </cell>
        </row>
        <row r="3419">
          <cell r="A3419" t="str">
            <v>48319327</v>
          </cell>
          <cell r="B3419">
            <v>13</v>
          </cell>
        </row>
        <row r="3420">
          <cell r="A3420" t="str">
            <v>48322412</v>
          </cell>
          <cell r="B3420">
            <v>181</v>
          </cell>
        </row>
        <row r="3421">
          <cell r="A3421" t="str">
            <v>48333117</v>
          </cell>
          <cell r="B3421">
            <v>7</v>
          </cell>
        </row>
        <row r="3422">
          <cell r="A3422" t="str">
            <v>48339881</v>
          </cell>
          <cell r="B3422">
            <v>1</v>
          </cell>
        </row>
        <row r="3423">
          <cell r="A3423" t="str">
            <v>48347512</v>
          </cell>
          <cell r="B3423">
            <v>8</v>
          </cell>
        </row>
        <row r="3424">
          <cell r="A3424" t="str">
            <v>48349656</v>
          </cell>
          <cell r="B3424">
            <v>9</v>
          </cell>
        </row>
        <row r="3425">
          <cell r="A3425" t="str">
            <v>48355503</v>
          </cell>
          <cell r="B3425">
            <v>2</v>
          </cell>
        </row>
        <row r="3426">
          <cell r="A3426" t="str">
            <v>48357287</v>
          </cell>
          <cell r="B3426">
            <v>32</v>
          </cell>
        </row>
        <row r="3427">
          <cell r="A3427" t="str">
            <v>48358370</v>
          </cell>
          <cell r="B3427">
            <v>7</v>
          </cell>
        </row>
        <row r="3428">
          <cell r="A3428" t="str">
            <v>48367508</v>
          </cell>
          <cell r="B3428">
            <v>2</v>
          </cell>
        </row>
        <row r="3429">
          <cell r="A3429" t="str">
            <v>48369059</v>
          </cell>
          <cell r="B3429">
            <v>15</v>
          </cell>
        </row>
        <row r="3430">
          <cell r="A3430" t="str">
            <v>48371647</v>
          </cell>
          <cell r="B3430">
            <v>2</v>
          </cell>
        </row>
        <row r="3431">
          <cell r="A3431" t="str">
            <v>48377173</v>
          </cell>
          <cell r="B3431">
            <v>3</v>
          </cell>
        </row>
        <row r="3432">
          <cell r="A3432" t="str">
            <v>48378732</v>
          </cell>
          <cell r="B3432">
            <v>1</v>
          </cell>
        </row>
        <row r="3433">
          <cell r="A3433" t="str">
            <v>48380025</v>
          </cell>
          <cell r="B3433">
            <v>5</v>
          </cell>
        </row>
        <row r="3434">
          <cell r="A3434" t="str">
            <v>48382533</v>
          </cell>
          <cell r="B3434">
            <v>2</v>
          </cell>
        </row>
        <row r="3435">
          <cell r="A3435" t="str">
            <v>48384105</v>
          </cell>
          <cell r="B3435">
            <v>7</v>
          </cell>
        </row>
        <row r="3436">
          <cell r="A3436" t="str">
            <v>48384121</v>
          </cell>
          <cell r="B3436">
            <v>24</v>
          </cell>
        </row>
        <row r="3437">
          <cell r="A3437" t="str">
            <v>48410005</v>
          </cell>
          <cell r="B3437">
            <v>187</v>
          </cell>
        </row>
        <row r="3438">
          <cell r="A3438" t="str">
            <v>48411353</v>
          </cell>
          <cell r="B3438">
            <v>16</v>
          </cell>
        </row>
        <row r="3439">
          <cell r="A3439" t="str">
            <v>48417220</v>
          </cell>
          <cell r="B3439">
            <v>5</v>
          </cell>
        </row>
        <row r="3440">
          <cell r="A3440" t="str">
            <v>48421501</v>
          </cell>
          <cell r="B3440">
            <v>3</v>
          </cell>
        </row>
        <row r="3441">
          <cell r="A3441" t="str">
            <v>48423217</v>
          </cell>
          <cell r="B3441">
            <v>1</v>
          </cell>
        </row>
        <row r="3442">
          <cell r="A3442" t="str">
            <v>48423831</v>
          </cell>
          <cell r="B3442">
            <v>9</v>
          </cell>
        </row>
        <row r="3443">
          <cell r="A3443" t="str">
            <v>48424766</v>
          </cell>
          <cell r="B3443">
            <v>11</v>
          </cell>
        </row>
        <row r="3444">
          <cell r="A3444" t="str">
            <v>48426283</v>
          </cell>
          <cell r="B3444">
            <v>8</v>
          </cell>
        </row>
        <row r="3445">
          <cell r="A3445" t="str">
            <v>48426811</v>
          </cell>
          <cell r="B3445">
            <v>5</v>
          </cell>
        </row>
        <row r="3446">
          <cell r="A3446" t="str">
            <v>48428040</v>
          </cell>
          <cell r="B3446">
            <v>3</v>
          </cell>
        </row>
        <row r="3447">
          <cell r="A3447" t="str">
            <v>48435613</v>
          </cell>
          <cell r="B3447">
            <v>4</v>
          </cell>
        </row>
        <row r="3448">
          <cell r="A3448" t="str">
            <v>48435985</v>
          </cell>
          <cell r="B3448">
            <v>4</v>
          </cell>
        </row>
        <row r="3449">
          <cell r="A3449" t="str">
            <v>48438066</v>
          </cell>
          <cell r="B3449">
            <v>9</v>
          </cell>
        </row>
        <row r="3450">
          <cell r="A3450" t="str">
            <v>48438192</v>
          </cell>
          <cell r="B3450">
            <v>1</v>
          </cell>
        </row>
        <row r="3451">
          <cell r="A3451" t="str">
            <v>48438571</v>
          </cell>
          <cell r="B3451">
            <v>6</v>
          </cell>
        </row>
        <row r="3452">
          <cell r="A3452" t="str">
            <v>48447010</v>
          </cell>
          <cell r="B3452">
            <v>3</v>
          </cell>
        </row>
        <row r="3453">
          <cell r="A3453" t="str">
            <v>48448341</v>
          </cell>
          <cell r="B3453">
            <v>5</v>
          </cell>
        </row>
        <row r="3454">
          <cell r="A3454" t="str">
            <v>48451032</v>
          </cell>
          <cell r="B3454">
            <v>3</v>
          </cell>
        </row>
        <row r="3455">
          <cell r="A3455" t="str">
            <v>48453415</v>
          </cell>
          <cell r="B3455">
            <v>7</v>
          </cell>
        </row>
        <row r="3456">
          <cell r="A3456" t="str">
            <v>48460002</v>
          </cell>
          <cell r="B3456">
            <v>88</v>
          </cell>
        </row>
        <row r="3457">
          <cell r="A3457" t="str">
            <v>48462478</v>
          </cell>
          <cell r="B3457">
            <v>6</v>
          </cell>
        </row>
        <row r="3458">
          <cell r="A3458" t="str">
            <v>48463666</v>
          </cell>
          <cell r="B3458">
            <v>24</v>
          </cell>
        </row>
        <row r="3459">
          <cell r="A3459" t="str">
            <v>48463931</v>
          </cell>
          <cell r="B3459">
            <v>4</v>
          </cell>
        </row>
        <row r="3460">
          <cell r="A3460" t="str">
            <v>48464819</v>
          </cell>
          <cell r="B3460">
            <v>12</v>
          </cell>
        </row>
        <row r="3461">
          <cell r="A3461" t="str">
            <v>48465629</v>
          </cell>
          <cell r="B3461">
            <v>3</v>
          </cell>
        </row>
        <row r="3462">
          <cell r="A3462" t="str">
            <v>48479574</v>
          </cell>
          <cell r="B3462">
            <v>3</v>
          </cell>
        </row>
        <row r="3463">
          <cell r="A3463" t="str">
            <v>48479935</v>
          </cell>
          <cell r="B3463">
            <v>3</v>
          </cell>
        </row>
        <row r="3464">
          <cell r="A3464" t="str">
            <v>48496401</v>
          </cell>
          <cell r="B3464">
            <v>2</v>
          </cell>
        </row>
        <row r="3465">
          <cell r="A3465" t="str">
            <v>48501798</v>
          </cell>
          <cell r="B3465">
            <v>3</v>
          </cell>
        </row>
        <row r="3466">
          <cell r="A3466" t="str">
            <v>48503057</v>
          </cell>
          <cell r="B3466">
            <v>13</v>
          </cell>
        </row>
        <row r="3467">
          <cell r="A3467" t="str">
            <v>48503132</v>
          </cell>
          <cell r="B3467">
            <v>4</v>
          </cell>
        </row>
        <row r="3468">
          <cell r="A3468" t="str">
            <v>48505797</v>
          </cell>
          <cell r="B3468">
            <v>1</v>
          </cell>
        </row>
        <row r="3469">
          <cell r="A3469" t="str">
            <v>48514841</v>
          </cell>
          <cell r="B3469">
            <v>4</v>
          </cell>
        </row>
        <row r="3470">
          <cell r="A3470" t="str">
            <v>48516623</v>
          </cell>
          <cell r="B3470">
            <v>19</v>
          </cell>
        </row>
        <row r="3471">
          <cell r="A3471" t="str">
            <v>48519005</v>
          </cell>
          <cell r="B3471">
            <v>41</v>
          </cell>
        </row>
        <row r="3472">
          <cell r="A3472" t="str">
            <v>48523522</v>
          </cell>
          <cell r="B3472">
            <v>12</v>
          </cell>
        </row>
        <row r="3473">
          <cell r="A3473" t="str">
            <v>48526094</v>
          </cell>
          <cell r="B3473">
            <v>1</v>
          </cell>
        </row>
        <row r="3474">
          <cell r="A3474" t="str">
            <v>48527174</v>
          </cell>
          <cell r="B3474">
            <v>1</v>
          </cell>
        </row>
        <row r="3475">
          <cell r="A3475" t="str">
            <v>48528489</v>
          </cell>
          <cell r="B3475">
            <v>1</v>
          </cell>
        </row>
        <row r="3476">
          <cell r="A3476" t="str">
            <v>48531634</v>
          </cell>
          <cell r="B3476">
            <v>30</v>
          </cell>
        </row>
        <row r="3477">
          <cell r="A3477" t="str">
            <v>48534704</v>
          </cell>
          <cell r="B3477">
            <v>27</v>
          </cell>
        </row>
        <row r="3478">
          <cell r="A3478" t="str">
            <v>48536510</v>
          </cell>
          <cell r="B3478">
            <v>15</v>
          </cell>
        </row>
        <row r="3479">
          <cell r="A3479" t="str">
            <v>48538888</v>
          </cell>
          <cell r="B3479">
            <v>4</v>
          </cell>
        </row>
        <row r="3480">
          <cell r="A3480" t="str">
            <v>48546666</v>
          </cell>
          <cell r="B3480">
            <v>4</v>
          </cell>
        </row>
        <row r="3481">
          <cell r="A3481" t="str">
            <v>48547611</v>
          </cell>
          <cell r="B3481">
            <v>1</v>
          </cell>
        </row>
        <row r="3482">
          <cell r="A3482" t="str">
            <v>48547652</v>
          </cell>
          <cell r="B3482">
            <v>4</v>
          </cell>
        </row>
        <row r="3483">
          <cell r="A3483" t="str">
            <v>48552786</v>
          </cell>
          <cell r="B3483">
            <v>11</v>
          </cell>
        </row>
        <row r="3484">
          <cell r="A3484" t="str">
            <v>48554904</v>
          </cell>
          <cell r="B3484">
            <v>7</v>
          </cell>
        </row>
        <row r="3485">
          <cell r="A3485" t="str">
            <v>48560594</v>
          </cell>
          <cell r="B3485">
            <v>21</v>
          </cell>
        </row>
        <row r="3486">
          <cell r="A3486" t="str">
            <v>48562715</v>
          </cell>
          <cell r="B3486">
            <v>36</v>
          </cell>
        </row>
        <row r="3487">
          <cell r="A3487" t="str">
            <v>48566845</v>
          </cell>
          <cell r="B3487">
            <v>17</v>
          </cell>
        </row>
        <row r="3488">
          <cell r="A3488" t="str">
            <v>48573268</v>
          </cell>
          <cell r="B3488">
            <v>7</v>
          </cell>
        </row>
        <row r="3489">
          <cell r="A3489" t="str">
            <v>48574200</v>
          </cell>
          <cell r="B3489">
            <v>3</v>
          </cell>
        </row>
        <row r="3490">
          <cell r="A3490" t="str">
            <v>48582106</v>
          </cell>
          <cell r="B3490">
            <v>7</v>
          </cell>
        </row>
        <row r="3491">
          <cell r="A3491" t="str">
            <v>48585278</v>
          </cell>
          <cell r="B3491">
            <v>3</v>
          </cell>
        </row>
        <row r="3492">
          <cell r="A3492" t="str">
            <v>48590129</v>
          </cell>
          <cell r="B3492">
            <v>6</v>
          </cell>
        </row>
        <row r="3493">
          <cell r="A3493" t="str">
            <v>48593965</v>
          </cell>
          <cell r="B3493">
            <v>1</v>
          </cell>
        </row>
        <row r="3494">
          <cell r="A3494" t="str">
            <v>48599943</v>
          </cell>
          <cell r="B3494">
            <v>10</v>
          </cell>
        </row>
        <row r="3495">
          <cell r="A3495" t="str">
            <v>48603022</v>
          </cell>
          <cell r="B3495">
            <v>2</v>
          </cell>
        </row>
        <row r="3496">
          <cell r="A3496" t="str">
            <v>48603743</v>
          </cell>
          <cell r="B3496">
            <v>22</v>
          </cell>
        </row>
        <row r="3497">
          <cell r="A3497" t="str">
            <v>48606217</v>
          </cell>
          <cell r="B3497">
            <v>2</v>
          </cell>
        </row>
        <row r="3498">
          <cell r="A3498" t="str">
            <v>48608330</v>
          </cell>
          <cell r="B3498">
            <v>36</v>
          </cell>
        </row>
        <row r="3499">
          <cell r="A3499" t="str">
            <v>48617397</v>
          </cell>
          <cell r="B3499">
            <v>32</v>
          </cell>
        </row>
        <row r="3500">
          <cell r="A3500" t="str">
            <v>48618551</v>
          </cell>
          <cell r="B3500">
            <v>2</v>
          </cell>
        </row>
        <row r="3501">
          <cell r="A3501" t="str">
            <v>48623591</v>
          </cell>
          <cell r="B3501">
            <v>4</v>
          </cell>
        </row>
        <row r="3502">
          <cell r="A3502" t="str">
            <v>48629336</v>
          </cell>
          <cell r="B3502">
            <v>6</v>
          </cell>
        </row>
        <row r="3503">
          <cell r="A3503" t="str">
            <v>48636897</v>
          </cell>
          <cell r="B3503">
            <v>5</v>
          </cell>
        </row>
        <row r="3504">
          <cell r="A3504" t="str">
            <v>48638636</v>
          </cell>
          <cell r="B3504">
            <v>15</v>
          </cell>
        </row>
        <row r="3505">
          <cell r="A3505" t="str">
            <v>48638962</v>
          </cell>
          <cell r="B3505">
            <v>4</v>
          </cell>
        </row>
        <row r="3506">
          <cell r="A3506" t="str">
            <v>48644013</v>
          </cell>
          <cell r="B3506">
            <v>6</v>
          </cell>
        </row>
        <row r="3507">
          <cell r="A3507" t="str">
            <v>48653976</v>
          </cell>
          <cell r="B3507">
            <v>12</v>
          </cell>
        </row>
        <row r="3508">
          <cell r="A3508" t="str">
            <v>48655175</v>
          </cell>
          <cell r="B3508">
            <v>10</v>
          </cell>
        </row>
        <row r="3509">
          <cell r="A3509" t="str">
            <v>48655957</v>
          </cell>
          <cell r="B3509">
            <v>4</v>
          </cell>
        </row>
        <row r="3510">
          <cell r="A3510" t="str">
            <v>48656083</v>
          </cell>
          <cell r="B3510">
            <v>3</v>
          </cell>
        </row>
        <row r="3511">
          <cell r="A3511" t="str">
            <v>48665648</v>
          </cell>
          <cell r="B3511">
            <v>4</v>
          </cell>
        </row>
        <row r="3512">
          <cell r="A3512" t="str">
            <v>48678643</v>
          </cell>
          <cell r="B3512">
            <v>1</v>
          </cell>
        </row>
        <row r="3513">
          <cell r="A3513" t="str">
            <v>48683868</v>
          </cell>
          <cell r="B3513">
            <v>5</v>
          </cell>
        </row>
        <row r="3514">
          <cell r="A3514" t="str">
            <v>48694851</v>
          </cell>
          <cell r="B3514">
            <v>5</v>
          </cell>
        </row>
        <row r="3515">
          <cell r="A3515" t="str">
            <v>48696680</v>
          </cell>
          <cell r="B3515">
            <v>5</v>
          </cell>
        </row>
        <row r="3516">
          <cell r="A3516" t="str">
            <v>48697435</v>
          </cell>
          <cell r="B3516">
            <v>2</v>
          </cell>
        </row>
        <row r="3517">
          <cell r="A3517" t="str">
            <v>48697639</v>
          </cell>
          <cell r="B3517">
            <v>2</v>
          </cell>
        </row>
        <row r="3518">
          <cell r="A3518" t="str">
            <v>48708778</v>
          </cell>
          <cell r="B3518">
            <v>83</v>
          </cell>
        </row>
        <row r="3519">
          <cell r="A3519" t="str">
            <v>48726076</v>
          </cell>
          <cell r="B3519">
            <v>2</v>
          </cell>
        </row>
        <row r="3520">
          <cell r="A3520" t="str">
            <v>48728691</v>
          </cell>
          <cell r="B3520">
            <v>2</v>
          </cell>
        </row>
        <row r="3521">
          <cell r="A3521" t="str">
            <v>48733135</v>
          </cell>
          <cell r="B3521">
            <v>17</v>
          </cell>
        </row>
        <row r="3522">
          <cell r="A3522" t="str">
            <v>48736801</v>
          </cell>
          <cell r="B3522">
            <v>12</v>
          </cell>
        </row>
        <row r="3523">
          <cell r="A3523" t="str">
            <v>48755753</v>
          </cell>
          <cell r="B3523">
            <v>1</v>
          </cell>
        </row>
        <row r="3524">
          <cell r="A3524" t="str">
            <v>48758935</v>
          </cell>
          <cell r="B3524">
            <v>4</v>
          </cell>
        </row>
        <row r="3525">
          <cell r="A3525" t="str">
            <v>48767784</v>
          </cell>
          <cell r="B3525">
            <v>10</v>
          </cell>
        </row>
        <row r="3526">
          <cell r="A3526" t="str">
            <v>48771878</v>
          </cell>
          <cell r="B3526">
            <v>3</v>
          </cell>
        </row>
        <row r="3527">
          <cell r="A3527" t="str">
            <v>48788282</v>
          </cell>
          <cell r="B3527">
            <v>5</v>
          </cell>
        </row>
        <row r="3528">
          <cell r="A3528" t="str">
            <v>48790878</v>
          </cell>
          <cell r="B3528">
            <v>6</v>
          </cell>
        </row>
        <row r="3529">
          <cell r="A3529" t="str">
            <v>48811672</v>
          </cell>
          <cell r="B3529">
            <v>12</v>
          </cell>
        </row>
        <row r="3530">
          <cell r="A3530" t="str">
            <v>48814459</v>
          </cell>
          <cell r="B3530">
            <v>2</v>
          </cell>
        </row>
        <row r="3531">
          <cell r="A3531" t="str">
            <v>48831268</v>
          </cell>
          <cell r="B3531">
            <v>1</v>
          </cell>
        </row>
        <row r="3532">
          <cell r="A3532" t="str">
            <v>48835509</v>
          </cell>
          <cell r="B3532">
            <v>21</v>
          </cell>
        </row>
        <row r="3533">
          <cell r="A3533" t="str">
            <v>48840573</v>
          </cell>
          <cell r="B3533">
            <v>6</v>
          </cell>
        </row>
        <row r="3534">
          <cell r="A3534" t="str">
            <v>48841656</v>
          </cell>
          <cell r="B3534">
            <v>16</v>
          </cell>
        </row>
        <row r="3535">
          <cell r="A3535" t="str">
            <v>48851230</v>
          </cell>
          <cell r="B3535">
            <v>5</v>
          </cell>
        </row>
        <row r="3536">
          <cell r="A3536" t="str">
            <v>48856831</v>
          </cell>
          <cell r="B3536">
            <v>12</v>
          </cell>
        </row>
        <row r="3537">
          <cell r="A3537" t="str">
            <v>48873453</v>
          </cell>
          <cell r="B3537">
            <v>51</v>
          </cell>
        </row>
        <row r="3538">
          <cell r="A3538" t="str">
            <v>48881938</v>
          </cell>
          <cell r="B3538">
            <v>3</v>
          </cell>
        </row>
        <row r="3539">
          <cell r="A3539" t="str">
            <v>48882862</v>
          </cell>
          <cell r="B3539">
            <v>6</v>
          </cell>
        </row>
        <row r="3540">
          <cell r="A3540" t="str">
            <v>48890290</v>
          </cell>
          <cell r="B3540">
            <v>64</v>
          </cell>
        </row>
        <row r="3541">
          <cell r="A3541" t="str">
            <v>48891038</v>
          </cell>
          <cell r="B3541">
            <v>6</v>
          </cell>
        </row>
        <row r="3542">
          <cell r="A3542" t="str">
            <v>48902386</v>
          </cell>
          <cell r="B3542">
            <v>6</v>
          </cell>
        </row>
        <row r="3543">
          <cell r="A3543" t="str">
            <v>48914654</v>
          </cell>
          <cell r="B3543">
            <v>8</v>
          </cell>
        </row>
        <row r="3544">
          <cell r="A3544" t="str">
            <v>48923674</v>
          </cell>
          <cell r="B3544">
            <v>15</v>
          </cell>
        </row>
        <row r="3545">
          <cell r="A3545" t="str">
            <v>48925526</v>
          </cell>
          <cell r="B3545">
            <v>52</v>
          </cell>
        </row>
        <row r="3546">
          <cell r="A3546" t="str">
            <v>48928330</v>
          </cell>
          <cell r="B3546">
            <v>3</v>
          </cell>
        </row>
        <row r="3547">
          <cell r="A3547" t="str">
            <v>48945969</v>
          </cell>
          <cell r="B3547">
            <v>2</v>
          </cell>
        </row>
        <row r="3548">
          <cell r="A3548" t="str">
            <v>48960358</v>
          </cell>
          <cell r="B3548">
            <v>5</v>
          </cell>
        </row>
        <row r="3549">
          <cell r="A3549" t="str">
            <v>49009854</v>
          </cell>
          <cell r="B3549">
            <v>30</v>
          </cell>
        </row>
        <row r="3550">
          <cell r="A3550" t="str">
            <v>49011132</v>
          </cell>
          <cell r="B3550">
            <v>6</v>
          </cell>
        </row>
        <row r="3551">
          <cell r="A3551" t="str">
            <v>49014762</v>
          </cell>
          <cell r="B3551">
            <v>285</v>
          </cell>
        </row>
        <row r="3552">
          <cell r="A3552" t="str">
            <v>49031670</v>
          </cell>
          <cell r="B3552">
            <v>2</v>
          </cell>
        </row>
        <row r="3553">
          <cell r="A3553" t="str">
            <v>49049888</v>
          </cell>
          <cell r="B3553">
            <v>6</v>
          </cell>
        </row>
        <row r="3554">
          <cell r="A3554" t="str">
            <v>49065513</v>
          </cell>
          <cell r="B3554">
            <v>5</v>
          </cell>
        </row>
        <row r="3555">
          <cell r="A3555" t="str">
            <v>49077729</v>
          </cell>
          <cell r="B3555">
            <v>7</v>
          </cell>
        </row>
        <row r="3556">
          <cell r="A3556" t="str">
            <v>60006066</v>
          </cell>
          <cell r="B3556">
            <v>6</v>
          </cell>
        </row>
        <row r="3557">
          <cell r="A3557" t="str">
            <v>60017127</v>
          </cell>
          <cell r="B3557">
            <v>3</v>
          </cell>
        </row>
        <row r="3558">
          <cell r="A3558" t="str">
            <v>60119274</v>
          </cell>
          <cell r="B3558">
            <v>9</v>
          </cell>
        </row>
        <row r="3559">
          <cell r="A3559" t="str">
            <v>60120221</v>
          </cell>
          <cell r="B3559">
            <v>3</v>
          </cell>
        </row>
        <row r="3560">
          <cell r="A3560" t="str">
            <v>60149601</v>
          </cell>
          <cell r="B3560">
            <v>2</v>
          </cell>
        </row>
        <row r="3561">
          <cell r="A3561" t="str">
            <v>60177944</v>
          </cell>
          <cell r="B3561">
            <v>2</v>
          </cell>
        </row>
        <row r="3562">
          <cell r="A3562" t="str">
            <v>60203462</v>
          </cell>
          <cell r="B3562">
            <v>107</v>
          </cell>
        </row>
        <row r="3563">
          <cell r="A3563" t="str">
            <v>60394376</v>
          </cell>
          <cell r="B3563">
            <v>9</v>
          </cell>
        </row>
        <row r="3564">
          <cell r="A3564" t="str">
            <v>60408932</v>
          </cell>
          <cell r="B3564">
            <v>1</v>
          </cell>
        </row>
        <row r="3565">
          <cell r="A3565" t="str">
            <v>60423345</v>
          </cell>
          <cell r="B3565">
            <v>15</v>
          </cell>
        </row>
        <row r="3566">
          <cell r="A3566" t="str">
            <v>60460812</v>
          </cell>
          <cell r="B3566">
            <v>12</v>
          </cell>
        </row>
        <row r="3567">
          <cell r="A3567" t="str">
            <v>60460815</v>
          </cell>
          <cell r="B3567">
            <v>180</v>
          </cell>
        </row>
        <row r="3568">
          <cell r="A3568" t="str">
            <v>60464278</v>
          </cell>
          <cell r="B3568">
            <v>1</v>
          </cell>
        </row>
        <row r="3569">
          <cell r="A3569" t="str">
            <v>60488943</v>
          </cell>
          <cell r="B3569">
            <v>1</v>
          </cell>
        </row>
        <row r="3570">
          <cell r="A3570" t="str">
            <v>60496154</v>
          </cell>
          <cell r="B3570">
            <v>9</v>
          </cell>
        </row>
        <row r="3571">
          <cell r="A3571" t="str">
            <v>60503033</v>
          </cell>
          <cell r="B3571">
            <v>2</v>
          </cell>
        </row>
        <row r="3572">
          <cell r="A3572" t="str">
            <v>60523668</v>
          </cell>
          <cell r="B3572">
            <v>2</v>
          </cell>
        </row>
        <row r="3573">
          <cell r="A3573" t="str">
            <v>60549317</v>
          </cell>
          <cell r="B3573">
            <v>48</v>
          </cell>
        </row>
        <row r="3574">
          <cell r="A3574" t="str">
            <v>60630813</v>
          </cell>
          <cell r="B3574">
            <v>1</v>
          </cell>
        </row>
        <row r="3575">
          <cell r="A3575" t="str">
            <v>60652206</v>
          </cell>
          <cell r="B3575">
            <v>1</v>
          </cell>
        </row>
        <row r="3576">
          <cell r="A3576" t="str">
            <v>60652352</v>
          </cell>
          <cell r="B3576">
            <v>14</v>
          </cell>
        </row>
        <row r="3577">
          <cell r="A3577" t="str">
            <v>60682635</v>
          </cell>
          <cell r="B3577">
            <v>5</v>
          </cell>
        </row>
        <row r="3578">
          <cell r="A3578" t="str">
            <v>60693751</v>
          </cell>
          <cell r="B3578">
            <v>5</v>
          </cell>
        </row>
        <row r="3579">
          <cell r="A3579" t="str">
            <v>60699319</v>
          </cell>
          <cell r="B3579">
            <v>3</v>
          </cell>
        </row>
        <row r="3580">
          <cell r="A3580" t="str">
            <v>60865110</v>
          </cell>
          <cell r="B3580">
            <v>25</v>
          </cell>
        </row>
        <row r="3581">
          <cell r="A3581" t="str">
            <v>60867451</v>
          </cell>
          <cell r="B3581">
            <v>54</v>
          </cell>
        </row>
        <row r="3582">
          <cell r="A3582" t="str">
            <v>60868103</v>
          </cell>
          <cell r="B3582">
            <v>5</v>
          </cell>
        </row>
        <row r="3583">
          <cell r="A3583" t="str">
            <v>60910113</v>
          </cell>
          <cell r="B3583">
            <v>6</v>
          </cell>
        </row>
        <row r="3584">
          <cell r="A3584" t="str">
            <v>60927909</v>
          </cell>
          <cell r="B3584">
            <v>3</v>
          </cell>
        </row>
        <row r="3585">
          <cell r="A3585" t="str">
            <v>60932416</v>
          </cell>
          <cell r="B3585">
            <v>12</v>
          </cell>
        </row>
        <row r="3586">
          <cell r="A3586" t="str">
            <v>60960310</v>
          </cell>
          <cell r="B3586">
            <v>5</v>
          </cell>
        </row>
        <row r="3587">
          <cell r="A3587" t="str">
            <v>60963427</v>
          </cell>
          <cell r="B3587">
            <v>1</v>
          </cell>
        </row>
        <row r="3588">
          <cell r="A3588" t="str">
            <v>60988398</v>
          </cell>
          <cell r="B3588">
            <v>6</v>
          </cell>
        </row>
        <row r="3589">
          <cell r="A3589" t="str">
            <v>61024615</v>
          </cell>
          <cell r="B3589">
            <v>6</v>
          </cell>
        </row>
        <row r="3590">
          <cell r="A3590" t="str">
            <v>61030128</v>
          </cell>
          <cell r="B3590">
            <v>4</v>
          </cell>
        </row>
        <row r="3591">
          <cell r="A3591" t="str">
            <v>61070490</v>
          </cell>
          <cell r="B3591">
            <v>14</v>
          </cell>
        </row>
        <row r="3592">
          <cell r="A3592" t="str">
            <v>61091241</v>
          </cell>
          <cell r="B3592">
            <v>4</v>
          </cell>
        </row>
        <row r="3593">
          <cell r="A3593" t="str">
            <v>61108558</v>
          </cell>
          <cell r="B3593">
            <v>2</v>
          </cell>
        </row>
        <row r="3594">
          <cell r="A3594" t="str">
            <v>61121717</v>
          </cell>
          <cell r="B3594">
            <v>17</v>
          </cell>
        </row>
        <row r="3595">
          <cell r="A3595" t="str">
            <v>61180469</v>
          </cell>
          <cell r="B3595">
            <v>2</v>
          </cell>
        </row>
        <row r="3596">
          <cell r="A3596" t="str">
            <v>61197840</v>
          </cell>
          <cell r="B3596">
            <v>1</v>
          </cell>
        </row>
        <row r="3597">
          <cell r="A3597" t="str">
            <v>61266468</v>
          </cell>
          <cell r="B3597">
            <v>1</v>
          </cell>
        </row>
        <row r="3598">
          <cell r="A3598" t="str">
            <v>61273156</v>
          </cell>
          <cell r="B3598">
            <v>8</v>
          </cell>
        </row>
        <row r="3599">
          <cell r="A3599" t="str">
            <v>61289119</v>
          </cell>
          <cell r="B3599">
            <v>7</v>
          </cell>
        </row>
        <row r="3600">
          <cell r="A3600" t="str">
            <v>61338216</v>
          </cell>
          <cell r="B3600">
            <v>2</v>
          </cell>
        </row>
        <row r="3601">
          <cell r="A3601" t="str">
            <v>61474263</v>
          </cell>
          <cell r="B3601">
            <v>1</v>
          </cell>
        </row>
        <row r="3602">
          <cell r="A3602" t="str">
            <v>61568361</v>
          </cell>
          <cell r="B3602">
            <v>7</v>
          </cell>
        </row>
        <row r="3603">
          <cell r="A3603" t="str">
            <v>61587815</v>
          </cell>
          <cell r="B3603">
            <v>1</v>
          </cell>
        </row>
        <row r="3604">
          <cell r="A3604" t="str">
            <v>61686357</v>
          </cell>
          <cell r="B3604">
            <v>3</v>
          </cell>
        </row>
        <row r="3605">
          <cell r="A3605" t="str">
            <v>61730410</v>
          </cell>
          <cell r="B3605">
            <v>9</v>
          </cell>
        </row>
        <row r="3606">
          <cell r="A3606" t="str">
            <v>61826839</v>
          </cell>
          <cell r="B3606">
            <v>11</v>
          </cell>
        </row>
        <row r="3607">
          <cell r="A3607" t="str">
            <v>61836587</v>
          </cell>
          <cell r="B3607">
            <v>2</v>
          </cell>
        </row>
        <row r="3608">
          <cell r="A3608" t="str">
            <v>61840770</v>
          </cell>
          <cell r="B3608">
            <v>8</v>
          </cell>
        </row>
        <row r="3609">
          <cell r="A3609" t="str">
            <v>61872460</v>
          </cell>
          <cell r="B3609">
            <v>2</v>
          </cell>
        </row>
        <row r="3610">
          <cell r="A3610" t="str">
            <v>61964968</v>
          </cell>
          <cell r="B3610">
            <v>8</v>
          </cell>
        </row>
        <row r="3611">
          <cell r="A3611" t="str">
            <v>61976386</v>
          </cell>
          <cell r="B3611">
            <v>11</v>
          </cell>
        </row>
        <row r="3612">
          <cell r="A3612" t="str">
            <v>62003646</v>
          </cell>
          <cell r="B3612">
            <v>5</v>
          </cell>
        </row>
        <row r="3613">
          <cell r="A3613" t="str">
            <v>62005201</v>
          </cell>
          <cell r="B3613">
            <v>13</v>
          </cell>
        </row>
        <row r="3614">
          <cell r="A3614" t="str">
            <v>62035109</v>
          </cell>
          <cell r="B3614">
            <v>9</v>
          </cell>
        </row>
        <row r="3615">
          <cell r="A3615" t="str">
            <v>62057549</v>
          </cell>
          <cell r="B3615">
            <v>7</v>
          </cell>
        </row>
        <row r="3616">
          <cell r="A3616" t="str">
            <v>62080899</v>
          </cell>
          <cell r="B3616">
            <v>2</v>
          </cell>
        </row>
        <row r="3617">
          <cell r="A3617" t="str">
            <v>62082671</v>
          </cell>
          <cell r="B3617">
            <v>7</v>
          </cell>
        </row>
        <row r="3618">
          <cell r="A3618" t="str">
            <v>62117638</v>
          </cell>
          <cell r="B3618">
            <v>8</v>
          </cell>
        </row>
        <row r="3619">
          <cell r="A3619" t="str">
            <v>62194369</v>
          </cell>
          <cell r="B3619">
            <v>5</v>
          </cell>
        </row>
        <row r="3620">
          <cell r="A3620" t="str">
            <v>62201250</v>
          </cell>
          <cell r="B3620">
            <v>2</v>
          </cell>
        </row>
        <row r="3621">
          <cell r="A3621" t="str">
            <v>62231532</v>
          </cell>
          <cell r="B3621">
            <v>4</v>
          </cell>
        </row>
        <row r="3622">
          <cell r="A3622" t="str">
            <v>62241508</v>
          </cell>
          <cell r="B3622">
            <v>8</v>
          </cell>
        </row>
        <row r="3623">
          <cell r="A3623" t="str">
            <v>62294746</v>
          </cell>
          <cell r="B3623">
            <v>1</v>
          </cell>
        </row>
        <row r="3624">
          <cell r="A3624" t="str">
            <v>62343218</v>
          </cell>
          <cell r="B3624">
            <v>3</v>
          </cell>
        </row>
        <row r="3625">
          <cell r="A3625" t="str">
            <v>62387347</v>
          </cell>
          <cell r="B3625">
            <v>7</v>
          </cell>
        </row>
        <row r="3626">
          <cell r="A3626" t="str">
            <v>62460853</v>
          </cell>
          <cell r="B3626">
            <v>2</v>
          </cell>
        </row>
        <row r="3627">
          <cell r="A3627" t="str">
            <v>62477398</v>
          </cell>
          <cell r="B3627">
            <v>4</v>
          </cell>
        </row>
        <row r="3628">
          <cell r="A3628" t="str">
            <v>62497160</v>
          </cell>
          <cell r="B3628">
            <v>110</v>
          </cell>
        </row>
        <row r="3629">
          <cell r="A3629" t="str">
            <v>62502946</v>
          </cell>
          <cell r="B3629">
            <v>3</v>
          </cell>
        </row>
        <row r="3630">
          <cell r="A3630" t="str">
            <v>62534213</v>
          </cell>
          <cell r="B3630">
            <v>11</v>
          </cell>
        </row>
        <row r="3631">
          <cell r="A3631" t="str">
            <v>62548147</v>
          </cell>
          <cell r="B3631">
            <v>6</v>
          </cell>
        </row>
        <row r="3632">
          <cell r="A3632" t="str">
            <v>62564140</v>
          </cell>
          <cell r="B3632">
            <v>15</v>
          </cell>
        </row>
        <row r="3633">
          <cell r="A3633" t="str">
            <v>62775919</v>
          </cell>
          <cell r="B3633">
            <v>2</v>
          </cell>
        </row>
        <row r="3634">
          <cell r="A3634" t="str">
            <v>62782368</v>
          </cell>
          <cell r="B3634">
            <v>26</v>
          </cell>
        </row>
        <row r="3635">
          <cell r="A3635" t="str">
            <v>62885574</v>
          </cell>
          <cell r="B3635">
            <v>6</v>
          </cell>
        </row>
        <row r="3636">
          <cell r="A3636" t="str">
            <v>62920758</v>
          </cell>
          <cell r="B3636">
            <v>23</v>
          </cell>
        </row>
        <row r="3637">
          <cell r="A3637" t="str">
            <v>63086755</v>
          </cell>
          <cell r="B3637">
            <v>5</v>
          </cell>
        </row>
        <row r="3638">
          <cell r="A3638" t="str">
            <v>63172410</v>
          </cell>
          <cell r="B3638">
            <v>1</v>
          </cell>
        </row>
        <row r="3639">
          <cell r="A3639" t="str">
            <v>63260089</v>
          </cell>
          <cell r="B3639">
            <v>11</v>
          </cell>
        </row>
        <row r="3640">
          <cell r="A3640" t="str">
            <v>63284448</v>
          </cell>
          <cell r="B3640">
            <v>11</v>
          </cell>
        </row>
        <row r="3641">
          <cell r="A3641" t="str">
            <v>63289874</v>
          </cell>
          <cell r="B3641">
            <v>2</v>
          </cell>
        </row>
        <row r="3642">
          <cell r="A3642" t="str">
            <v>63297049</v>
          </cell>
          <cell r="B3642">
            <v>3</v>
          </cell>
        </row>
        <row r="3643">
          <cell r="A3643" t="str">
            <v>63355324</v>
          </cell>
          <cell r="B3643">
            <v>1</v>
          </cell>
        </row>
        <row r="3644">
          <cell r="A3644" t="str">
            <v>63595260</v>
          </cell>
          <cell r="B3644">
            <v>8</v>
          </cell>
        </row>
        <row r="3645">
          <cell r="A3645" t="str">
            <v>63693046</v>
          </cell>
          <cell r="B3645">
            <v>3</v>
          </cell>
        </row>
        <row r="3646">
          <cell r="A3646" t="str">
            <v>70012188</v>
          </cell>
          <cell r="B3646">
            <v>2</v>
          </cell>
        </row>
        <row r="3647">
          <cell r="A3647" t="str">
            <v>70016982</v>
          </cell>
          <cell r="B3647">
            <v>2</v>
          </cell>
        </row>
        <row r="3648">
          <cell r="A3648" t="str">
            <v>70018799</v>
          </cell>
          <cell r="B3648">
            <v>26</v>
          </cell>
        </row>
        <row r="3649">
          <cell r="A3649" t="str">
            <v>70019140</v>
          </cell>
          <cell r="B3649">
            <v>1</v>
          </cell>
        </row>
        <row r="3650">
          <cell r="A3650" t="str">
            <v>70022155</v>
          </cell>
          <cell r="B3650">
            <v>1</v>
          </cell>
        </row>
        <row r="3651">
          <cell r="A3651" t="str">
            <v>70026981</v>
          </cell>
          <cell r="B3651">
            <v>1</v>
          </cell>
        </row>
        <row r="3652">
          <cell r="A3652" t="str">
            <v>70029479</v>
          </cell>
          <cell r="B3652">
            <v>4</v>
          </cell>
        </row>
        <row r="3653">
          <cell r="A3653" t="str">
            <v>70031562</v>
          </cell>
          <cell r="B3653">
            <v>16</v>
          </cell>
        </row>
        <row r="3654">
          <cell r="A3654" t="str">
            <v>70031808</v>
          </cell>
          <cell r="B3654">
            <v>1</v>
          </cell>
        </row>
        <row r="3655">
          <cell r="A3655" t="str">
            <v>70036819</v>
          </cell>
          <cell r="B3655">
            <v>5</v>
          </cell>
        </row>
        <row r="3656">
          <cell r="A3656" t="str">
            <v>70045629</v>
          </cell>
          <cell r="B3656">
            <v>4</v>
          </cell>
        </row>
        <row r="3657">
          <cell r="A3657" t="str">
            <v>70051725</v>
          </cell>
          <cell r="B3657">
            <v>13</v>
          </cell>
        </row>
        <row r="3658">
          <cell r="A3658" t="str">
            <v>70054941</v>
          </cell>
          <cell r="B3658">
            <v>3</v>
          </cell>
        </row>
        <row r="3659">
          <cell r="A3659" t="str">
            <v>70055074</v>
          </cell>
          <cell r="B3659">
            <v>11</v>
          </cell>
        </row>
        <row r="3660">
          <cell r="A3660" t="str">
            <v>70057278</v>
          </cell>
          <cell r="B3660">
            <v>4</v>
          </cell>
        </row>
        <row r="3661">
          <cell r="A3661" t="str">
            <v>70058922</v>
          </cell>
          <cell r="B3661">
            <v>26</v>
          </cell>
        </row>
        <row r="3662">
          <cell r="A3662" t="str">
            <v>70059440</v>
          </cell>
          <cell r="B3662">
            <v>1</v>
          </cell>
        </row>
        <row r="3663">
          <cell r="A3663" t="str">
            <v>70059715</v>
          </cell>
          <cell r="B3663">
            <v>8</v>
          </cell>
        </row>
        <row r="3664">
          <cell r="A3664" t="str">
            <v>70059790</v>
          </cell>
          <cell r="B3664">
            <v>14</v>
          </cell>
        </row>
        <row r="3665">
          <cell r="A3665" t="str">
            <v>70060933</v>
          </cell>
          <cell r="B3665">
            <v>19</v>
          </cell>
        </row>
        <row r="3666">
          <cell r="A3666" t="str">
            <v>70064152</v>
          </cell>
          <cell r="B3666">
            <v>4</v>
          </cell>
        </row>
        <row r="3667">
          <cell r="A3667" t="str">
            <v>70074031</v>
          </cell>
          <cell r="B3667">
            <v>18</v>
          </cell>
        </row>
        <row r="3668">
          <cell r="A3668" t="str">
            <v>70075546</v>
          </cell>
          <cell r="B3668">
            <v>14</v>
          </cell>
        </row>
        <row r="3669">
          <cell r="A3669" t="str">
            <v>70078518</v>
          </cell>
          <cell r="B3669">
            <v>3</v>
          </cell>
        </row>
        <row r="3670">
          <cell r="A3670" t="str">
            <v>70086910</v>
          </cell>
          <cell r="B3670">
            <v>15</v>
          </cell>
        </row>
        <row r="3671">
          <cell r="A3671" t="str">
            <v>70086941</v>
          </cell>
          <cell r="B3671">
            <v>1</v>
          </cell>
        </row>
        <row r="3672">
          <cell r="A3672" t="str">
            <v>70088984</v>
          </cell>
          <cell r="B3672">
            <v>4</v>
          </cell>
        </row>
        <row r="3673">
          <cell r="A3673" t="str">
            <v>70097133</v>
          </cell>
          <cell r="B3673">
            <v>25</v>
          </cell>
        </row>
        <row r="3674">
          <cell r="A3674" t="str">
            <v>70101974</v>
          </cell>
          <cell r="B3674">
            <v>1</v>
          </cell>
        </row>
        <row r="3675">
          <cell r="A3675" t="str">
            <v>70103521</v>
          </cell>
          <cell r="B3675">
            <v>2</v>
          </cell>
        </row>
        <row r="3676">
          <cell r="A3676" t="str">
            <v>70105583</v>
          </cell>
          <cell r="B3676">
            <v>6</v>
          </cell>
        </row>
        <row r="3677">
          <cell r="A3677" t="str">
            <v>70107494</v>
          </cell>
          <cell r="B3677">
            <v>12</v>
          </cell>
        </row>
        <row r="3678">
          <cell r="A3678" t="str">
            <v>70108502</v>
          </cell>
          <cell r="B3678">
            <v>9</v>
          </cell>
        </row>
        <row r="3679">
          <cell r="A3679" t="str">
            <v>70112440</v>
          </cell>
          <cell r="B3679">
            <v>1</v>
          </cell>
        </row>
        <row r="3680">
          <cell r="A3680" t="str">
            <v>70118113</v>
          </cell>
          <cell r="B3680">
            <v>7</v>
          </cell>
        </row>
        <row r="3681">
          <cell r="A3681" t="str">
            <v>70122289</v>
          </cell>
          <cell r="B3681">
            <v>130</v>
          </cell>
        </row>
        <row r="3682">
          <cell r="A3682" t="str">
            <v>70130443</v>
          </cell>
          <cell r="B3682">
            <v>4</v>
          </cell>
        </row>
        <row r="3683">
          <cell r="A3683" t="str">
            <v>70137073</v>
          </cell>
          <cell r="B3683">
            <v>20</v>
          </cell>
        </row>
        <row r="3684">
          <cell r="A3684" t="str">
            <v>70138434</v>
          </cell>
          <cell r="B3684">
            <v>1</v>
          </cell>
        </row>
        <row r="3685">
          <cell r="A3685" t="str">
            <v>70142759</v>
          </cell>
          <cell r="B3685">
            <v>1</v>
          </cell>
        </row>
        <row r="3686">
          <cell r="A3686" t="str">
            <v>70144028</v>
          </cell>
          <cell r="B3686">
            <v>4</v>
          </cell>
        </row>
        <row r="3687">
          <cell r="A3687" t="str">
            <v>70146040</v>
          </cell>
          <cell r="B3687">
            <v>4</v>
          </cell>
        </row>
        <row r="3688">
          <cell r="A3688" t="str">
            <v>70147681</v>
          </cell>
          <cell r="B3688">
            <v>6</v>
          </cell>
        </row>
        <row r="3689">
          <cell r="A3689" t="str">
            <v>70152024</v>
          </cell>
          <cell r="B3689">
            <v>7</v>
          </cell>
        </row>
        <row r="3690">
          <cell r="A3690" t="str">
            <v>70166004</v>
          </cell>
          <cell r="B3690">
            <v>46</v>
          </cell>
        </row>
        <row r="3691">
          <cell r="A3691" t="str">
            <v>70174410</v>
          </cell>
          <cell r="B3691">
            <v>1</v>
          </cell>
        </row>
        <row r="3692">
          <cell r="A3692" t="str">
            <v>70183547</v>
          </cell>
          <cell r="B3692">
            <v>2</v>
          </cell>
        </row>
        <row r="3693">
          <cell r="A3693" t="str">
            <v>70185235</v>
          </cell>
          <cell r="B3693">
            <v>17</v>
          </cell>
        </row>
        <row r="3694">
          <cell r="A3694" t="str">
            <v>70187202</v>
          </cell>
          <cell r="B3694">
            <v>6</v>
          </cell>
        </row>
        <row r="3695">
          <cell r="A3695" t="str">
            <v>70189696</v>
          </cell>
          <cell r="B3695">
            <v>2</v>
          </cell>
        </row>
        <row r="3696">
          <cell r="A3696" t="str">
            <v>70196523</v>
          </cell>
          <cell r="B3696">
            <v>6</v>
          </cell>
        </row>
        <row r="3697">
          <cell r="A3697" t="str">
            <v>70197772</v>
          </cell>
          <cell r="B3697">
            <v>4</v>
          </cell>
        </row>
        <row r="3698">
          <cell r="A3698" t="str">
            <v>70206672</v>
          </cell>
          <cell r="B3698">
            <v>3</v>
          </cell>
        </row>
        <row r="3699">
          <cell r="A3699" t="str">
            <v>70208147</v>
          </cell>
          <cell r="B3699">
            <v>7</v>
          </cell>
        </row>
        <row r="3700">
          <cell r="A3700" t="str">
            <v>70210718</v>
          </cell>
          <cell r="B3700">
            <v>7</v>
          </cell>
        </row>
        <row r="3701">
          <cell r="A3701" t="str">
            <v>70216239</v>
          </cell>
          <cell r="B3701">
            <v>3</v>
          </cell>
        </row>
        <row r="3702">
          <cell r="A3702" t="str">
            <v>70216695</v>
          </cell>
          <cell r="B3702">
            <v>3</v>
          </cell>
        </row>
        <row r="3703">
          <cell r="A3703" t="str">
            <v>70218976</v>
          </cell>
          <cell r="B3703">
            <v>14</v>
          </cell>
        </row>
        <row r="3704">
          <cell r="A3704" t="str">
            <v>70220877</v>
          </cell>
          <cell r="B3704">
            <v>11</v>
          </cell>
        </row>
        <row r="3705">
          <cell r="A3705" t="str">
            <v>70230099</v>
          </cell>
          <cell r="B3705">
            <v>3</v>
          </cell>
        </row>
        <row r="3706">
          <cell r="A3706" t="str">
            <v>70234734</v>
          </cell>
          <cell r="B3706">
            <v>212</v>
          </cell>
        </row>
        <row r="3707">
          <cell r="A3707" t="str">
            <v>70237548</v>
          </cell>
          <cell r="B3707">
            <v>16</v>
          </cell>
        </row>
        <row r="3708">
          <cell r="A3708" t="str">
            <v>70242590</v>
          </cell>
          <cell r="B3708">
            <v>10</v>
          </cell>
        </row>
        <row r="3709">
          <cell r="A3709" t="str">
            <v>70242853</v>
          </cell>
          <cell r="B3709">
            <v>12</v>
          </cell>
        </row>
        <row r="3710">
          <cell r="A3710" t="str">
            <v>70244887</v>
          </cell>
          <cell r="B3710">
            <v>2</v>
          </cell>
        </row>
        <row r="3711">
          <cell r="A3711" t="str">
            <v>70246095</v>
          </cell>
          <cell r="B3711">
            <v>6</v>
          </cell>
        </row>
        <row r="3712">
          <cell r="A3712" t="str">
            <v>70246096</v>
          </cell>
          <cell r="B3712">
            <v>8</v>
          </cell>
        </row>
        <row r="3713">
          <cell r="A3713" t="str">
            <v>70247671</v>
          </cell>
          <cell r="B3713">
            <v>9</v>
          </cell>
        </row>
        <row r="3714">
          <cell r="A3714" t="str">
            <v>70253862</v>
          </cell>
          <cell r="B3714">
            <v>4</v>
          </cell>
        </row>
        <row r="3715">
          <cell r="A3715" t="str">
            <v>70257391</v>
          </cell>
          <cell r="B3715">
            <v>10</v>
          </cell>
        </row>
        <row r="3716">
          <cell r="A3716" t="str">
            <v>70258153</v>
          </cell>
          <cell r="B3716">
            <v>31</v>
          </cell>
        </row>
        <row r="3717">
          <cell r="A3717" t="str">
            <v>70258652</v>
          </cell>
          <cell r="B3717">
            <v>22</v>
          </cell>
        </row>
        <row r="3718">
          <cell r="A3718" t="str">
            <v>70261785</v>
          </cell>
          <cell r="B3718">
            <v>11</v>
          </cell>
        </row>
        <row r="3719">
          <cell r="A3719" t="str">
            <v>70264406</v>
          </cell>
          <cell r="B3719">
            <v>5</v>
          </cell>
        </row>
        <row r="3720">
          <cell r="A3720" t="str">
            <v>70268419</v>
          </cell>
          <cell r="B3720">
            <v>3</v>
          </cell>
        </row>
        <row r="3721">
          <cell r="A3721" t="str">
            <v>70271781</v>
          </cell>
          <cell r="B3721">
            <v>79</v>
          </cell>
        </row>
        <row r="3722">
          <cell r="A3722" t="str">
            <v>70278262</v>
          </cell>
          <cell r="B3722">
            <v>17</v>
          </cell>
        </row>
        <row r="3723">
          <cell r="A3723" t="str">
            <v>70297450</v>
          </cell>
          <cell r="B3723">
            <v>1</v>
          </cell>
        </row>
        <row r="3724">
          <cell r="A3724" t="str">
            <v>70297978</v>
          </cell>
          <cell r="B3724">
            <v>14</v>
          </cell>
        </row>
        <row r="3725">
          <cell r="A3725" t="str">
            <v>70302467</v>
          </cell>
          <cell r="B3725">
            <v>2</v>
          </cell>
        </row>
        <row r="3726">
          <cell r="A3726" t="str">
            <v>70302583</v>
          </cell>
          <cell r="B3726">
            <v>47</v>
          </cell>
        </row>
        <row r="3727">
          <cell r="A3727" t="str">
            <v>70311720</v>
          </cell>
          <cell r="B3727">
            <v>2</v>
          </cell>
        </row>
        <row r="3728">
          <cell r="A3728" t="str">
            <v>70312443</v>
          </cell>
          <cell r="B3728">
            <v>27</v>
          </cell>
        </row>
        <row r="3729">
          <cell r="A3729" t="str">
            <v>70312686</v>
          </cell>
          <cell r="B3729">
            <v>22</v>
          </cell>
        </row>
        <row r="3730">
          <cell r="A3730" t="str">
            <v>70324383</v>
          </cell>
          <cell r="B3730">
            <v>18</v>
          </cell>
        </row>
        <row r="3731">
          <cell r="A3731" t="str">
            <v>70331246</v>
          </cell>
          <cell r="B3731">
            <v>18</v>
          </cell>
        </row>
        <row r="3732">
          <cell r="A3732" t="str">
            <v>70332430</v>
          </cell>
          <cell r="B3732">
            <v>8</v>
          </cell>
        </row>
        <row r="3733">
          <cell r="A3733" t="str">
            <v>70344831</v>
          </cell>
          <cell r="B3733">
            <v>6</v>
          </cell>
        </row>
        <row r="3734">
          <cell r="A3734" t="str">
            <v>70346395</v>
          </cell>
          <cell r="B3734">
            <v>2</v>
          </cell>
        </row>
        <row r="3735">
          <cell r="A3735" t="str">
            <v>70346853</v>
          </cell>
          <cell r="B3735">
            <v>8</v>
          </cell>
        </row>
        <row r="3736">
          <cell r="A3736" t="str">
            <v>70351856</v>
          </cell>
          <cell r="B3736">
            <v>7</v>
          </cell>
        </row>
        <row r="3737">
          <cell r="A3737" t="str">
            <v>70355474</v>
          </cell>
          <cell r="B3737">
            <v>22</v>
          </cell>
        </row>
        <row r="3738">
          <cell r="A3738" t="str">
            <v>70356371</v>
          </cell>
          <cell r="B3738">
            <v>6</v>
          </cell>
        </row>
        <row r="3739">
          <cell r="A3739" t="str">
            <v>70359864</v>
          </cell>
          <cell r="B3739">
            <v>3</v>
          </cell>
        </row>
        <row r="3740">
          <cell r="A3740" t="str">
            <v>70361263</v>
          </cell>
          <cell r="B3740">
            <v>3</v>
          </cell>
        </row>
        <row r="3741">
          <cell r="A3741" t="str">
            <v>70362224</v>
          </cell>
          <cell r="B3741">
            <v>17</v>
          </cell>
        </row>
        <row r="3742">
          <cell r="A3742" t="str">
            <v>70362570</v>
          </cell>
          <cell r="B3742">
            <v>2</v>
          </cell>
        </row>
        <row r="3743">
          <cell r="A3743" t="str">
            <v>70372426</v>
          </cell>
          <cell r="B3743">
            <v>5</v>
          </cell>
        </row>
        <row r="3744">
          <cell r="A3744" t="str">
            <v>70376563</v>
          </cell>
          <cell r="B3744">
            <v>35</v>
          </cell>
        </row>
        <row r="3745">
          <cell r="A3745" t="str">
            <v>70382890</v>
          </cell>
          <cell r="B3745">
            <v>2</v>
          </cell>
        </row>
        <row r="3746">
          <cell r="A3746" t="str">
            <v>70384103</v>
          </cell>
          <cell r="B3746">
            <v>4</v>
          </cell>
        </row>
        <row r="3747">
          <cell r="A3747" t="str">
            <v>70384316</v>
          </cell>
          <cell r="B3747">
            <v>5</v>
          </cell>
        </row>
        <row r="3748">
          <cell r="A3748" t="str">
            <v>70385510</v>
          </cell>
          <cell r="B3748">
            <v>10</v>
          </cell>
        </row>
        <row r="3749">
          <cell r="A3749" t="str">
            <v>70386985</v>
          </cell>
          <cell r="B3749">
            <v>7</v>
          </cell>
        </row>
        <row r="3750">
          <cell r="A3750" t="str">
            <v>70393304</v>
          </cell>
          <cell r="B3750">
            <v>6</v>
          </cell>
        </row>
        <row r="3751">
          <cell r="A3751" t="str">
            <v>70397226</v>
          </cell>
          <cell r="B3751">
            <v>2</v>
          </cell>
        </row>
        <row r="3752">
          <cell r="A3752" t="str">
            <v>70398624</v>
          </cell>
          <cell r="B3752">
            <v>21</v>
          </cell>
        </row>
        <row r="3753">
          <cell r="A3753" t="str">
            <v>70403851</v>
          </cell>
          <cell r="B3753">
            <v>4</v>
          </cell>
        </row>
        <row r="3754">
          <cell r="A3754" t="str">
            <v>70413235</v>
          </cell>
          <cell r="B3754">
            <v>2</v>
          </cell>
        </row>
        <row r="3755">
          <cell r="A3755" t="str">
            <v>70414415</v>
          </cell>
          <cell r="B3755">
            <v>5</v>
          </cell>
        </row>
        <row r="3756">
          <cell r="A3756" t="str">
            <v>70417760</v>
          </cell>
          <cell r="B3756">
            <v>33</v>
          </cell>
        </row>
        <row r="3757">
          <cell r="A3757" t="str">
            <v>70418678</v>
          </cell>
          <cell r="B3757">
            <v>1</v>
          </cell>
        </row>
        <row r="3758">
          <cell r="A3758" t="str">
            <v>70420343</v>
          </cell>
          <cell r="B3758">
            <v>2</v>
          </cell>
        </row>
        <row r="3759">
          <cell r="A3759" t="str">
            <v>70420625</v>
          </cell>
          <cell r="B3759">
            <v>92</v>
          </cell>
        </row>
        <row r="3760">
          <cell r="A3760" t="str">
            <v>70423737</v>
          </cell>
          <cell r="B3760">
            <v>10</v>
          </cell>
        </row>
        <row r="3761">
          <cell r="A3761" t="str">
            <v>70434219</v>
          </cell>
          <cell r="B3761">
            <v>6</v>
          </cell>
        </row>
        <row r="3762">
          <cell r="A3762" t="str">
            <v>70444241</v>
          </cell>
          <cell r="B3762">
            <v>5</v>
          </cell>
        </row>
        <row r="3763">
          <cell r="A3763" t="str">
            <v>70444646</v>
          </cell>
          <cell r="B3763">
            <v>182</v>
          </cell>
        </row>
        <row r="3764">
          <cell r="A3764" t="str">
            <v>70455321</v>
          </cell>
          <cell r="B3764">
            <v>14</v>
          </cell>
        </row>
        <row r="3765">
          <cell r="A3765" t="str">
            <v>70481198</v>
          </cell>
          <cell r="B3765">
            <v>2</v>
          </cell>
        </row>
        <row r="3766">
          <cell r="A3766" t="str">
            <v>70492182</v>
          </cell>
          <cell r="B3766">
            <v>1</v>
          </cell>
        </row>
        <row r="3767">
          <cell r="A3767" t="str">
            <v>70497952</v>
          </cell>
          <cell r="B3767">
            <v>1</v>
          </cell>
        </row>
        <row r="3768">
          <cell r="A3768" t="str">
            <v>70500312</v>
          </cell>
          <cell r="B3768">
            <v>8</v>
          </cell>
        </row>
        <row r="3769">
          <cell r="A3769" t="str">
            <v>70502722</v>
          </cell>
          <cell r="B3769">
            <v>5</v>
          </cell>
        </row>
        <row r="3770">
          <cell r="A3770" t="str">
            <v>70504019</v>
          </cell>
          <cell r="B3770">
            <v>2</v>
          </cell>
        </row>
        <row r="3771">
          <cell r="A3771" t="str">
            <v>70506203</v>
          </cell>
          <cell r="B3771">
            <v>26</v>
          </cell>
        </row>
        <row r="3772">
          <cell r="A3772" t="str">
            <v>70513733</v>
          </cell>
          <cell r="B3772">
            <v>2</v>
          </cell>
        </row>
        <row r="3773">
          <cell r="A3773" t="str">
            <v>70523704</v>
          </cell>
          <cell r="B3773">
            <v>4</v>
          </cell>
        </row>
        <row r="3774">
          <cell r="A3774" t="str">
            <v>70525103</v>
          </cell>
          <cell r="B3774">
            <v>93</v>
          </cell>
        </row>
        <row r="3775">
          <cell r="A3775" t="str">
            <v>70526255</v>
          </cell>
          <cell r="B3775">
            <v>5</v>
          </cell>
        </row>
        <row r="3776">
          <cell r="A3776" t="str">
            <v>70539279</v>
          </cell>
          <cell r="B3776">
            <v>5</v>
          </cell>
        </row>
        <row r="3777">
          <cell r="A3777" t="str">
            <v>70545139</v>
          </cell>
          <cell r="B3777">
            <v>4</v>
          </cell>
        </row>
        <row r="3778">
          <cell r="A3778" t="str">
            <v>70545399</v>
          </cell>
          <cell r="B3778">
            <v>2</v>
          </cell>
        </row>
        <row r="3779">
          <cell r="A3779" t="str">
            <v>70555677</v>
          </cell>
          <cell r="B3779">
            <v>4</v>
          </cell>
        </row>
        <row r="3780">
          <cell r="A3780" t="str">
            <v>70557737</v>
          </cell>
          <cell r="B3780">
            <v>22</v>
          </cell>
        </row>
        <row r="3781">
          <cell r="A3781" t="str">
            <v>70563705</v>
          </cell>
          <cell r="B3781">
            <v>2</v>
          </cell>
        </row>
        <row r="3782">
          <cell r="A3782" t="str">
            <v>70571269</v>
          </cell>
          <cell r="B3782">
            <v>4</v>
          </cell>
        </row>
        <row r="3783">
          <cell r="A3783" t="str">
            <v>70571997</v>
          </cell>
          <cell r="B3783">
            <v>1</v>
          </cell>
        </row>
        <row r="3784">
          <cell r="A3784" t="str">
            <v>70574876</v>
          </cell>
          <cell r="B3784">
            <v>20</v>
          </cell>
        </row>
        <row r="3785">
          <cell r="A3785" t="str">
            <v>70579837</v>
          </cell>
          <cell r="B3785">
            <v>3</v>
          </cell>
        </row>
        <row r="3786">
          <cell r="A3786" t="str">
            <v>70580545</v>
          </cell>
          <cell r="B3786">
            <v>6</v>
          </cell>
        </row>
        <row r="3787">
          <cell r="A3787" t="str">
            <v>70600122</v>
          </cell>
          <cell r="B3787">
            <v>2</v>
          </cell>
        </row>
        <row r="3788">
          <cell r="A3788" t="str">
            <v>70619252</v>
          </cell>
          <cell r="B3788">
            <v>20</v>
          </cell>
        </row>
        <row r="3789">
          <cell r="A3789" t="str">
            <v>70659743</v>
          </cell>
          <cell r="B3789">
            <v>40</v>
          </cell>
        </row>
        <row r="3790">
          <cell r="A3790" t="str">
            <v>70663382</v>
          </cell>
          <cell r="B3790">
            <v>7</v>
          </cell>
        </row>
        <row r="3791">
          <cell r="A3791" t="str">
            <v>70668389</v>
          </cell>
          <cell r="B3791">
            <v>1</v>
          </cell>
        </row>
        <row r="3792">
          <cell r="A3792" t="str">
            <v>70674297</v>
          </cell>
          <cell r="B3792">
            <v>153</v>
          </cell>
        </row>
        <row r="3793">
          <cell r="A3793" t="str">
            <v>70676677</v>
          </cell>
          <cell r="B3793">
            <v>4</v>
          </cell>
        </row>
        <row r="3794">
          <cell r="A3794" t="str">
            <v>70682232</v>
          </cell>
          <cell r="B3794">
            <v>1</v>
          </cell>
        </row>
        <row r="3795">
          <cell r="A3795" t="str">
            <v>70683393</v>
          </cell>
          <cell r="B3795">
            <v>2</v>
          </cell>
        </row>
        <row r="3796">
          <cell r="A3796" t="str">
            <v>70685213</v>
          </cell>
          <cell r="B3796">
            <v>1</v>
          </cell>
        </row>
        <row r="3797">
          <cell r="A3797" t="str">
            <v>70687787</v>
          </cell>
          <cell r="B3797">
            <v>40</v>
          </cell>
        </row>
        <row r="3798">
          <cell r="A3798" t="str">
            <v>70690485</v>
          </cell>
          <cell r="B3798">
            <v>2</v>
          </cell>
        </row>
        <row r="3799">
          <cell r="A3799" t="str">
            <v>70692903</v>
          </cell>
          <cell r="B3799">
            <v>14</v>
          </cell>
        </row>
        <row r="3800">
          <cell r="A3800" t="str">
            <v>70693149</v>
          </cell>
          <cell r="B3800">
            <v>3</v>
          </cell>
        </row>
        <row r="3801">
          <cell r="A3801" t="str">
            <v>70746984</v>
          </cell>
          <cell r="B3801">
            <v>13</v>
          </cell>
        </row>
        <row r="3802">
          <cell r="A3802" t="str">
            <v>70748171</v>
          </cell>
          <cell r="B3802">
            <v>3</v>
          </cell>
        </row>
        <row r="3803">
          <cell r="A3803" t="str">
            <v>70748673</v>
          </cell>
          <cell r="B3803">
            <v>1</v>
          </cell>
        </row>
        <row r="3804">
          <cell r="A3804" t="str">
            <v>70753643</v>
          </cell>
          <cell r="B3804">
            <v>7</v>
          </cell>
        </row>
        <row r="3805">
          <cell r="A3805" t="str">
            <v>70753644</v>
          </cell>
          <cell r="B3805">
            <v>9</v>
          </cell>
        </row>
        <row r="3806">
          <cell r="A3806" t="str">
            <v>70760702</v>
          </cell>
          <cell r="B3806">
            <v>6</v>
          </cell>
        </row>
        <row r="3807">
          <cell r="A3807" t="str">
            <v>70761304</v>
          </cell>
          <cell r="B3807">
            <v>3</v>
          </cell>
        </row>
        <row r="3808">
          <cell r="A3808" t="str">
            <v>70764114</v>
          </cell>
          <cell r="B3808">
            <v>26</v>
          </cell>
        </row>
        <row r="3809">
          <cell r="A3809" t="str">
            <v>70767201</v>
          </cell>
          <cell r="B3809">
            <v>9</v>
          </cell>
        </row>
        <row r="3810">
          <cell r="A3810" t="str">
            <v>70767831</v>
          </cell>
          <cell r="B3810">
            <v>1</v>
          </cell>
        </row>
        <row r="3811">
          <cell r="A3811" t="str">
            <v>70771134</v>
          </cell>
          <cell r="B3811">
            <v>17</v>
          </cell>
        </row>
        <row r="3812">
          <cell r="A3812" t="str">
            <v>70773977</v>
          </cell>
          <cell r="B3812">
            <v>1</v>
          </cell>
        </row>
        <row r="3813">
          <cell r="A3813" t="str">
            <v>70778664</v>
          </cell>
          <cell r="B3813">
            <v>2</v>
          </cell>
        </row>
        <row r="3814">
          <cell r="A3814" t="str">
            <v>70782044</v>
          </cell>
          <cell r="B3814">
            <v>7</v>
          </cell>
        </row>
        <row r="3815">
          <cell r="A3815" t="str">
            <v>70789310</v>
          </cell>
          <cell r="B3815">
            <v>4</v>
          </cell>
        </row>
        <row r="3816">
          <cell r="A3816" t="str">
            <v>70792525</v>
          </cell>
          <cell r="B3816">
            <v>19</v>
          </cell>
        </row>
        <row r="3817">
          <cell r="A3817" t="str">
            <v>70792752</v>
          </cell>
          <cell r="B3817">
            <v>5</v>
          </cell>
        </row>
        <row r="3818">
          <cell r="A3818" t="str">
            <v>70799932</v>
          </cell>
          <cell r="B3818">
            <v>4</v>
          </cell>
        </row>
        <row r="3819">
          <cell r="A3819" t="str">
            <v>70801612</v>
          </cell>
          <cell r="B3819">
            <v>12</v>
          </cell>
        </row>
        <row r="3820">
          <cell r="A3820" t="str">
            <v>70805534</v>
          </cell>
          <cell r="B3820">
            <v>3</v>
          </cell>
        </row>
        <row r="3821">
          <cell r="A3821" t="str">
            <v>70805864</v>
          </cell>
          <cell r="B3821">
            <v>3</v>
          </cell>
        </row>
        <row r="3822">
          <cell r="A3822" t="str">
            <v>70809374</v>
          </cell>
          <cell r="B3822">
            <v>1</v>
          </cell>
        </row>
        <row r="3823">
          <cell r="A3823" t="str">
            <v>70809845</v>
          </cell>
          <cell r="B3823">
            <v>4</v>
          </cell>
        </row>
        <row r="3824">
          <cell r="A3824" t="str">
            <v>70811937</v>
          </cell>
          <cell r="B3824">
            <v>13</v>
          </cell>
        </row>
        <row r="3825">
          <cell r="A3825" t="str">
            <v>70812721</v>
          </cell>
          <cell r="B3825">
            <v>2</v>
          </cell>
        </row>
        <row r="3826">
          <cell r="A3826" t="str">
            <v>70814431</v>
          </cell>
          <cell r="B3826">
            <v>1</v>
          </cell>
        </row>
        <row r="3827">
          <cell r="A3827" t="str">
            <v>70816735</v>
          </cell>
          <cell r="B3827">
            <v>3</v>
          </cell>
        </row>
        <row r="3828">
          <cell r="A3828" t="str">
            <v>70817571</v>
          </cell>
          <cell r="B3828">
            <v>2</v>
          </cell>
        </row>
        <row r="3829">
          <cell r="A3829" t="str">
            <v>70835941</v>
          </cell>
          <cell r="B3829">
            <v>13</v>
          </cell>
        </row>
        <row r="3830">
          <cell r="A3830" t="str">
            <v>70839289</v>
          </cell>
          <cell r="B3830">
            <v>2</v>
          </cell>
        </row>
        <row r="3831">
          <cell r="A3831" t="str">
            <v>70841853</v>
          </cell>
          <cell r="B3831">
            <v>1</v>
          </cell>
        </row>
        <row r="3832">
          <cell r="A3832" t="str">
            <v>70843736</v>
          </cell>
          <cell r="B3832">
            <v>14</v>
          </cell>
        </row>
        <row r="3833">
          <cell r="A3833" t="str">
            <v>70846606</v>
          </cell>
          <cell r="B3833">
            <v>12</v>
          </cell>
        </row>
        <row r="3834">
          <cell r="A3834" t="str">
            <v>70875788</v>
          </cell>
          <cell r="B3834">
            <v>8</v>
          </cell>
        </row>
        <row r="3835">
          <cell r="A3835" t="str">
            <v>70884432</v>
          </cell>
          <cell r="B3835">
            <v>6</v>
          </cell>
        </row>
        <row r="3836">
          <cell r="A3836" t="str">
            <v>70892868</v>
          </cell>
          <cell r="B3836">
            <v>19</v>
          </cell>
        </row>
        <row r="3837">
          <cell r="A3837" t="str">
            <v>70896462</v>
          </cell>
          <cell r="B3837">
            <v>11</v>
          </cell>
        </row>
        <row r="3838">
          <cell r="A3838" t="str">
            <v>70906762</v>
          </cell>
          <cell r="B3838">
            <v>4</v>
          </cell>
        </row>
        <row r="3839">
          <cell r="A3839" t="str">
            <v>70914244</v>
          </cell>
          <cell r="B3839">
            <v>1</v>
          </cell>
        </row>
        <row r="3840">
          <cell r="A3840" t="str">
            <v>70932265</v>
          </cell>
          <cell r="B3840">
            <v>12</v>
          </cell>
        </row>
        <row r="3841">
          <cell r="A3841" t="str">
            <v>70941033</v>
          </cell>
          <cell r="B3841">
            <v>9</v>
          </cell>
        </row>
        <row r="3842">
          <cell r="A3842" t="str">
            <v>70948248</v>
          </cell>
          <cell r="B3842">
            <v>1</v>
          </cell>
        </row>
        <row r="3843">
          <cell r="A3843" t="str">
            <v>70969297</v>
          </cell>
          <cell r="B3843">
            <v>25</v>
          </cell>
        </row>
        <row r="3844">
          <cell r="A3844" t="str">
            <v>70972318</v>
          </cell>
          <cell r="B3844">
            <v>21</v>
          </cell>
        </row>
        <row r="3845">
          <cell r="A3845" t="str">
            <v>70972768</v>
          </cell>
          <cell r="B3845">
            <v>16</v>
          </cell>
        </row>
        <row r="3846">
          <cell r="A3846" t="str">
            <v>70988810</v>
          </cell>
          <cell r="B3846">
            <v>23</v>
          </cell>
        </row>
        <row r="3847">
          <cell r="A3847" t="str">
            <v>70997014</v>
          </cell>
          <cell r="B3847">
            <v>6</v>
          </cell>
        </row>
        <row r="3848">
          <cell r="A3848" t="str">
            <v>71000886</v>
          </cell>
          <cell r="B3848">
            <v>1</v>
          </cell>
        </row>
        <row r="3849">
          <cell r="A3849" t="str">
            <v>71001683</v>
          </cell>
          <cell r="B3849">
            <v>4</v>
          </cell>
        </row>
        <row r="3850">
          <cell r="A3850" t="str">
            <v>71003002</v>
          </cell>
          <cell r="B3850">
            <v>8</v>
          </cell>
        </row>
        <row r="3851">
          <cell r="A3851" t="str">
            <v>71018218</v>
          </cell>
          <cell r="B3851">
            <v>6</v>
          </cell>
        </row>
        <row r="3852">
          <cell r="A3852" t="str">
            <v>71020026</v>
          </cell>
          <cell r="B3852">
            <v>25</v>
          </cell>
        </row>
        <row r="3853">
          <cell r="A3853" t="str">
            <v>71020201</v>
          </cell>
          <cell r="B3853">
            <v>2</v>
          </cell>
        </row>
        <row r="3854">
          <cell r="A3854" t="str">
            <v>71029786</v>
          </cell>
          <cell r="B3854">
            <v>3</v>
          </cell>
        </row>
        <row r="3855">
          <cell r="A3855" t="str">
            <v>71031249</v>
          </cell>
          <cell r="B3855">
            <v>18</v>
          </cell>
        </row>
        <row r="3856">
          <cell r="A3856" t="str">
            <v>71037730</v>
          </cell>
          <cell r="B3856">
            <v>39</v>
          </cell>
        </row>
        <row r="3857">
          <cell r="A3857" t="str">
            <v>71042953</v>
          </cell>
          <cell r="B3857">
            <v>1</v>
          </cell>
        </row>
        <row r="3858">
          <cell r="A3858" t="str">
            <v>71047052</v>
          </cell>
          <cell r="B3858">
            <v>1</v>
          </cell>
        </row>
        <row r="3859">
          <cell r="A3859" t="str">
            <v>71051208</v>
          </cell>
          <cell r="B3859">
            <v>2</v>
          </cell>
        </row>
        <row r="3860">
          <cell r="A3860" t="str">
            <v>71051235</v>
          </cell>
          <cell r="B3860">
            <v>4</v>
          </cell>
        </row>
        <row r="3861">
          <cell r="A3861" t="str">
            <v>71055480</v>
          </cell>
          <cell r="B3861">
            <v>1</v>
          </cell>
        </row>
        <row r="3862">
          <cell r="A3862" t="str">
            <v>71064212</v>
          </cell>
          <cell r="B3862">
            <v>2</v>
          </cell>
        </row>
        <row r="3863">
          <cell r="A3863" t="str">
            <v>71067827</v>
          </cell>
          <cell r="B3863">
            <v>4</v>
          </cell>
        </row>
        <row r="3864">
          <cell r="A3864" t="str">
            <v>71069393</v>
          </cell>
          <cell r="B3864">
            <v>7</v>
          </cell>
        </row>
        <row r="3865">
          <cell r="A3865" t="str">
            <v>71073341</v>
          </cell>
          <cell r="B3865">
            <v>2</v>
          </cell>
        </row>
        <row r="3866">
          <cell r="A3866" t="str">
            <v>71075416</v>
          </cell>
          <cell r="B3866">
            <v>19</v>
          </cell>
        </row>
        <row r="3867">
          <cell r="A3867" t="str">
            <v>71076268</v>
          </cell>
          <cell r="B3867">
            <v>7</v>
          </cell>
        </row>
        <row r="3868">
          <cell r="A3868" t="str">
            <v>71090986</v>
          </cell>
          <cell r="B3868">
            <v>5</v>
          </cell>
        </row>
        <row r="3869">
          <cell r="A3869" t="str">
            <v>71095917</v>
          </cell>
          <cell r="B3869">
            <v>2</v>
          </cell>
        </row>
        <row r="3870">
          <cell r="A3870" t="str">
            <v>71105407</v>
          </cell>
          <cell r="B3870">
            <v>4</v>
          </cell>
        </row>
        <row r="3871">
          <cell r="A3871" t="str">
            <v>71105489</v>
          </cell>
          <cell r="B3871">
            <v>11</v>
          </cell>
        </row>
        <row r="3872">
          <cell r="A3872" t="str">
            <v>71106101</v>
          </cell>
          <cell r="B3872">
            <v>13</v>
          </cell>
        </row>
        <row r="3873">
          <cell r="A3873" t="str">
            <v>71109497</v>
          </cell>
          <cell r="B3873">
            <v>1</v>
          </cell>
        </row>
        <row r="3874">
          <cell r="A3874" t="str">
            <v>71110511</v>
          </cell>
          <cell r="B3874">
            <v>4</v>
          </cell>
        </row>
        <row r="3875">
          <cell r="A3875" t="str">
            <v>71112129</v>
          </cell>
          <cell r="B3875">
            <v>11</v>
          </cell>
        </row>
        <row r="3876">
          <cell r="A3876" t="str">
            <v>71113287</v>
          </cell>
          <cell r="B3876">
            <v>87</v>
          </cell>
        </row>
        <row r="3877">
          <cell r="A3877" t="str">
            <v>71119718</v>
          </cell>
          <cell r="B3877">
            <v>31</v>
          </cell>
        </row>
        <row r="3878">
          <cell r="A3878" t="str">
            <v>71129699</v>
          </cell>
          <cell r="B3878">
            <v>6</v>
          </cell>
        </row>
        <row r="3879">
          <cell r="A3879" t="str">
            <v>71135480</v>
          </cell>
          <cell r="B3879">
            <v>2</v>
          </cell>
        </row>
        <row r="3880">
          <cell r="A3880" t="str">
            <v>71136815</v>
          </cell>
          <cell r="B3880">
            <v>7</v>
          </cell>
        </row>
        <row r="3881">
          <cell r="A3881" t="str">
            <v>71153843</v>
          </cell>
          <cell r="B3881">
            <v>3</v>
          </cell>
        </row>
        <row r="3882">
          <cell r="A3882" t="str">
            <v>71194820</v>
          </cell>
          <cell r="B3882">
            <v>6</v>
          </cell>
        </row>
        <row r="3883">
          <cell r="A3883" t="str">
            <v>71194826</v>
          </cell>
          <cell r="B3883">
            <v>37</v>
          </cell>
        </row>
        <row r="3884">
          <cell r="A3884" t="str">
            <v>71215949</v>
          </cell>
          <cell r="B3884">
            <v>50</v>
          </cell>
        </row>
        <row r="3885">
          <cell r="A3885" t="str">
            <v>71215958</v>
          </cell>
          <cell r="B3885">
            <v>30</v>
          </cell>
        </row>
        <row r="3886">
          <cell r="A3886" t="str">
            <v>71215959</v>
          </cell>
          <cell r="B3886">
            <v>30</v>
          </cell>
        </row>
        <row r="3887">
          <cell r="A3887" t="str">
            <v>71218014</v>
          </cell>
          <cell r="B3887">
            <v>4</v>
          </cell>
        </row>
        <row r="3888">
          <cell r="A3888" t="str">
            <v>71219805</v>
          </cell>
          <cell r="B3888">
            <v>5</v>
          </cell>
        </row>
        <row r="3889">
          <cell r="A3889" t="str">
            <v>71238532</v>
          </cell>
          <cell r="B3889">
            <v>10</v>
          </cell>
        </row>
        <row r="3890">
          <cell r="A3890" t="str">
            <v>71244378</v>
          </cell>
          <cell r="B3890">
            <v>13</v>
          </cell>
        </row>
        <row r="3891">
          <cell r="A3891" t="str">
            <v>71244702</v>
          </cell>
          <cell r="B3891">
            <v>16</v>
          </cell>
        </row>
        <row r="3892">
          <cell r="A3892" t="str">
            <v>71279287</v>
          </cell>
          <cell r="B3892">
            <v>4</v>
          </cell>
        </row>
        <row r="3893">
          <cell r="A3893" t="str">
            <v>71295683</v>
          </cell>
          <cell r="B3893">
            <v>9</v>
          </cell>
        </row>
        <row r="3894">
          <cell r="A3894" t="str">
            <v>71301276</v>
          </cell>
          <cell r="B3894">
            <v>3</v>
          </cell>
        </row>
        <row r="3895">
          <cell r="A3895" t="str">
            <v>71301881</v>
          </cell>
          <cell r="B3895">
            <v>12</v>
          </cell>
        </row>
        <row r="3896">
          <cell r="A3896" t="str">
            <v>71302700</v>
          </cell>
          <cell r="B3896">
            <v>10</v>
          </cell>
        </row>
        <row r="3897">
          <cell r="A3897" t="str">
            <v>71307959</v>
          </cell>
          <cell r="B3897">
            <v>6</v>
          </cell>
        </row>
        <row r="3898">
          <cell r="A3898" t="str">
            <v>71309795</v>
          </cell>
          <cell r="B3898">
            <v>9</v>
          </cell>
        </row>
        <row r="3899">
          <cell r="A3899" t="str">
            <v>71339650</v>
          </cell>
          <cell r="B3899">
            <v>2</v>
          </cell>
        </row>
        <row r="3900">
          <cell r="A3900" t="str">
            <v>71349889</v>
          </cell>
          <cell r="B3900">
            <v>4</v>
          </cell>
        </row>
        <row r="3901">
          <cell r="A3901" t="str">
            <v>71359748</v>
          </cell>
          <cell r="B3901">
            <v>1</v>
          </cell>
        </row>
        <row r="3902">
          <cell r="A3902" t="str">
            <v>71373343</v>
          </cell>
          <cell r="B3902">
            <v>3</v>
          </cell>
        </row>
        <row r="3903">
          <cell r="A3903" t="str">
            <v>71398882</v>
          </cell>
          <cell r="B3903">
            <v>10</v>
          </cell>
        </row>
        <row r="3904">
          <cell r="A3904" t="str">
            <v>71413870</v>
          </cell>
          <cell r="B3904">
            <v>2</v>
          </cell>
        </row>
        <row r="3905">
          <cell r="A3905" t="str">
            <v>71413936</v>
          </cell>
          <cell r="B3905">
            <v>1</v>
          </cell>
        </row>
        <row r="3906">
          <cell r="A3906" t="str">
            <v>71422025</v>
          </cell>
          <cell r="B3906">
            <v>30</v>
          </cell>
        </row>
        <row r="3907">
          <cell r="A3907" t="str">
            <v>71433750</v>
          </cell>
          <cell r="B3907">
            <v>14</v>
          </cell>
        </row>
        <row r="3908">
          <cell r="A3908" t="str">
            <v>71437709</v>
          </cell>
          <cell r="B3908">
            <v>4</v>
          </cell>
        </row>
        <row r="3909">
          <cell r="A3909" t="str">
            <v>71438326</v>
          </cell>
          <cell r="B3909">
            <v>8</v>
          </cell>
        </row>
        <row r="3910">
          <cell r="A3910" t="str">
            <v>71452132</v>
          </cell>
          <cell r="B3910">
            <v>7</v>
          </cell>
        </row>
        <row r="3911">
          <cell r="A3911" t="str">
            <v>71459868</v>
          </cell>
          <cell r="B3911">
            <v>6</v>
          </cell>
        </row>
        <row r="3912">
          <cell r="A3912" t="str">
            <v>71482253</v>
          </cell>
          <cell r="B3912">
            <v>3</v>
          </cell>
        </row>
        <row r="3913">
          <cell r="A3913" t="str">
            <v>71483351</v>
          </cell>
          <cell r="B3913">
            <v>3</v>
          </cell>
        </row>
        <row r="3914">
          <cell r="A3914" t="str">
            <v>71489584</v>
          </cell>
          <cell r="B3914">
            <v>28</v>
          </cell>
        </row>
        <row r="3915">
          <cell r="A3915" t="str">
            <v>71505036</v>
          </cell>
          <cell r="B3915">
            <v>23</v>
          </cell>
        </row>
        <row r="3916">
          <cell r="A3916" t="str">
            <v>71517662</v>
          </cell>
          <cell r="B3916">
            <v>7</v>
          </cell>
        </row>
        <row r="3917">
          <cell r="A3917" t="str">
            <v>71524060</v>
          </cell>
          <cell r="B3917">
            <v>3</v>
          </cell>
        </row>
        <row r="3918">
          <cell r="A3918" t="str">
            <v>71524507</v>
          </cell>
          <cell r="B3918">
            <v>1</v>
          </cell>
        </row>
        <row r="3919">
          <cell r="A3919" t="str">
            <v>71526518</v>
          </cell>
          <cell r="B3919">
            <v>6</v>
          </cell>
        </row>
        <row r="3920">
          <cell r="A3920" t="str">
            <v>71541366</v>
          </cell>
          <cell r="B3920">
            <v>2</v>
          </cell>
        </row>
        <row r="3921">
          <cell r="A3921" t="str">
            <v>71542943</v>
          </cell>
          <cell r="B3921">
            <v>3</v>
          </cell>
        </row>
        <row r="3922">
          <cell r="A3922" t="str">
            <v>71562619</v>
          </cell>
          <cell r="B3922">
            <v>15</v>
          </cell>
        </row>
        <row r="3923">
          <cell r="A3923" t="str">
            <v>71568032</v>
          </cell>
          <cell r="B3923">
            <v>6</v>
          </cell>
        </row>
        <row r="3924">
          <cell r="A3924" t="str">
            <v>71574902</v>
          </cell>
          <cell r="B3924">
            <v>1</v>
          </cell>
        </row>
        <row r="3925">
          <cell r="A3925" t="str">
            <v>71578352</v>
          </cell>
          <cell r="B3925">
            <v>5</v>
          </cell>
        </row>
        <row r="3926">
          <cell r="A3926" t="str">
            <v>71580108</v>
          </cell>
          <cell r="B3926">
            <v>3</v>
          </cell>
        </row>
        <row r="3927">
          <cell r="A3927" t="str">
            <v>71582503</v>
          </cell>
          <cell r="B3927">
            <v>4</v>
          </cell>
        </row>
        <row r="3928">
          <cell r="A3928" t="str">
            <v>71591760</v>
          </cell>
          <cell r="B3928">
            <v>13</v>
          </cell>
        </row>
        <row r="3929">
          <cell r="A3929" t="str">
            <v>71591867</v>
          </cell>
          <cell r="B3929">
            <v>8</v>
          </cell>
        </row>
        <row r="3930">
          <cell r="A3930" t="str">
            <v>71592271</v>
          </cell>
          <cell r="B3930">
            <v>1</v>
          </cell>
        </row>
        <row r="3931">
          <cell r="A3931" t="str">
            <v>71593853</v>
          </cell>
          <cell r="B3931">
            <v>16</v>
          </cell>
        </row>
        <row r="3932">
          <cell r="A3932" t="str">
            <v>71594023</v>
          </cell>
          <cell r="B3932">
            <v>6</v>
          </cell>
        </row>
        <row r="3933">
          <cell r="A3933" t="str">
            <v>71600179</v>
          </cell>
          <cell r="B3933">
            <v>36</v>
          </cell>
        </row>
        <row r="3934">
          <cell r="A3934" t="str">
            <v>71612447</v>
          </cell>
          <cell r="B3934">
            <v>1</v>
          </cell>
        </row>
        <row r="3935">
          <cell r="A3935" t="str">
            <v>71615293</v>
          </cell>
          <cell r="B3935">
            <v>15</v>
          </cell>
        </row>
        <row r="3936">
          <cell r="A3936" t="str">
            <v>71615309</v>
          </cell>
          <cell r="B3936">
            <v>4</v>
          </cell>
        </row>
        <row r="3937">
          <cell r="A3937" t="str">
            <v>71623764</v>
          </cell>
          <cell r="B3937">
            <v>9</v>
          </cell>
        </row>
        <row r="3938">
          <cell r="A3938" t="str">
            <v>71646571</v>
          </cell>
          <cell r="B3938">
            <v>27</v>
          </cell>
        </row>
        <row r="3939">
          <cell r="A3939" t="str">
            <v>71646853</v>
          </cell>
          <cell r="B3939">
            <v>30</v>
          </cell>
        </row>
        <row r="3940">
          <cell r="A3940" t="str">
            <v>71650338</v>
          </cell>
          <cell r="B3940">
            <v>2</v>
          </cell>
        </row>
        <row r="3941">
          <cell r="A3941" t="str">
            <v>71651589</v>
          </cell>
          <cell r="B3941">
            <v>29</v>
          </cell>
        </row>
        <row r="3942">
          <cell r="A3942" t="str">
            <v>71654561</v>
          </cell>
          <cell r="B3942">
            <v>27</v>
          </cell>
        </row>
        <row r="3943">
          <cell r="A3943" t="str">
            <v>71656762</v>
          </cell>
          <cell r="B3943">
            <v>8</v>
          </cell>
        </row>
        <row r="3944">
          <cell r="A3944" t="str">
            <v>71662997</v>
          </cell>
          <cell r="B3944">
            <v>3</v>
          </cell>
        </row>
        <row r="3945">
          <cell r="A3945" t="str">
            <v>71689458</v>
          </cell>
          <cell r="B3945">
            <v>3</v>
          </cell>
        </row>
        <row r="3946">
          <cell r="A3946" t="str">
            <v>71700037</v>
          </cell>
          <cell r="B3946">
            <v>9</v>
          </cell>
        </row>
        <row r="3947">
          <cell r="A3947" t="str">
            <v>71709936</v>
          </cell>
          <cell r="B3947">
            <v>4</v>
          </cell>
        </row>
        <row r="3948">
          <cell r="A3948" t="str">
            <v>71710845</v>
          </cell>
          <cell r="B3948">
            <v>11</v>
          </cell>
        </row>
        <row r="3949">
          <cell r="A3949" t="str">
            <v>71714208</v>
          </cell>
          <cell r="B3949">
            <v>8</v>
          </cell>
        </row>
        <row r="3950">
          <cell r="A3950" t="str">
            <v>71717209</v>
          </cell>
          <cell r="B3950">
            <v>6</v>
          </cell>
        </row>
        <row r="3951">
          <cell r="A3951" t="str">
            <v>71724851</v>
          </cell>
          <cell r="B3951">
            <v>2</v>
          </cell>
        </row>
        <row r="3952">
          <cell r="A3952" t="str">
            <v>71727637</v>
          </cell>
          <cell r="B3952">
            <v>11</v>
          </cell>
        </row>
        <row r="3953">
          <cell r="A3953" t="str">
            <v>71738182</v>
          </cell>
          <cell r="B3953">
            <v>10</v>
          </cell>
        </row>
        <row r="3954">
          <cell r="A3954" t="str">
            <v>71743574</v>
          </cell>
          <cell r="B3954">
            <v>227</v>
          </cell>
        </row>
        <row r="3955">
          <cell r="A3955" t="str">
            <v>71745977</v>
          </cell>
          <cell r="B3955">
            <v>1</v>
          </cell>
        </row>
        <row r="3956">
          <cell r="A3956" t="str">
            <v>71748538</v>
          </cell>
          <cell r="B3956">
            <v>2</v>
          </cell>
        </row>
        <row r="3957">
          <cell r="A3957" t="str">
            <v>71748627</v>
          </cell>
          <cell r="B3957">
            <v>4</v>
          </cell>
        </row>
        <row r="3958">
          <cell r="A3958" t="str">
            <v>71759258</v>
          </cell>
          <cell r="B3958">
            <v>16</v>
          </cell>
        </row>
        <row r="3959">
          <cell r="A3959" t="str">
            <v>71774817</v>
          </cell>
          <cell r="B3959">
            <v>1</v>
          </cell>
        </row>
        <row r="3960">
          <cell r="A3960" t="str">
            <v>71775078</v>
          </cell>
          <cell r="B3960">
            <v>8</v>
          </cell>
        </row>
        <row r="3961">
          <cell r="A3961" t="str">
            <v>71776419</v>
          </cell>
          <cell r="B3961">
            <v>1</v>
          </cell>
        </row>
        <row r="3962">
          <cell r="A3962" t="str">
            <v>71776867</v>
          </cell>
          <cell r="B3962">
            <v>2</v>
          </cell>
        </row>
        <row r="3963">
          <cell r="A3963" t="str">
            <v>71781040</v>
          </cell>
          <cell r="B3963">
            <v>6</v>
          </cell>
        </row>
        <row r="3964">
          <cell r="A3964" t="str">
            <v>71782395</v>
          </cell>
          <cell r="B3964">
            <v>2</v>
          </cell>
        </row>
        <row r="3965">
          <cell r="A3965" t="str">
            <v>71785733</v>
          </cell>
          <cell r="B3965">
            <v>6</v>
          </cell>
        </row>
        <row r="3966">
          <cell r="A3966" t="str">
            <v>71791492</v>
          </cell>
          <cell r="B3966">
            <v>2</v>
          </cell>
        </row>
        <row r="3967">
          <cell r="A3967" t="str">
            <v>71805594</v>
          </cell>
          <cell r="B3967">
            <v>2</v>
          </cell>
        </row>
        <row r="3968">
          <cell r="A3968" t="str">
            <v>71810172</v>
          </cell>
          <cell r="B3968">
            <v>10</v>
          </cell>
        </row>
        <row r="3969">
          <cell r="A3969" t="str">
            <v>71815133</v>
          </cell>
          <cell r="B3969">
            <v>3</v>
          </cell>
        </row>
        <row r="3970">
          <cell r="A3970" t="str">
            <v>71825408</v>
          </cell>
          <cell r="B3970">
            <v>1</v>
          </cell>
        </row>
        <row r="3971">
          <cell r="A3971" t="str">
            <v>71828486</v>
          </cell>
          <cell r="B3971">
            <v>21</v>
          </cell>
        </row>
        <row r="3972">
          <cell r="A3972" t="str">
            <v>71832492</v>
          </cell>
          <cell r="B3972">
            <v>2</v>
          </cell>
        </row>
        <row r="3973">
          <cell r="A3973" t="str">
            <v>71833584</v>
          </cell>
          <cell r="B3973">
            <v>2</v>
          </cell>
        </row>
        <row r="3974">
          <cell r="A3974" t="str">
            <v>71845766</v>
          </cell>
          <cell r="B3974">
            <v>2</v>
          </cell>
        </row>
        <row r="3975">
          <cell r="A3975" t="str">
            <v>71849906</v>
          </cell>
          <cell r="B3975">
            <v>17</v>
          </cell>
        </row>
        <row r="3976">
          <cell r="A3976" t="str">
            <v>71853496</v>
          </cell>
          <cell r="B3976">
            <v>6</v>
          </cell>
        </row>
        <row r="3977">
          <cell r="A3977" t="str">
            <v>71853746</v>
          </cell>
          <cell r="B3977">
            <v>6</v>
          </cell>
        </row>
        <row r="3978">
          <cell r="A3978" t="str">
            <v>71860368</v>
          </cell>
          <cell r="B3978">
            <v>3</v>
          </cell>
        </row>
        <row r="3979">
          <cell r="A3979" t="str">
            <v>71877625</v>
          </cell>
          <cell r="B3979">
            <v>13</v>
          </cell>
        </row>
        <row r="3980">
          <cell r="A3980" t="str">
            <v>71885425</v>
          </cell>
          <cell r="B3980">
            <v>12</v>
          </cell>
        </row>
        <row r="3981">
          <cell r="A3981" t="str">
            <v>71890844</v>
          </cell>
          <cell r="B3981">
            <v>3</v>
          </cell>
        </row>
        <row r="3982">
          <cell r="A3982" t="str">
            <v>71900622</v>
          </cell>
          <cell r="B3982">
            <v>2</v>
          </cell>
        </row>
        <row r="3983">
          <cell r="A3983" t="str">
            <v>71902043</v>
          </cell>
          <cell r="B3983">
            <v>2</v>
          </cell>
        </row>
        <row r="3984">
          <cell r="A3984" t="str">
            <v>71903813</v>
          </cell>
          <cell r="B3984">
            <v>3</v>
          </cell>
        </row>
        <row r="3985">
          <cell r="A3985" t="str">
            <v>71904117</v>
          </cell>
          <cell r="B3985">
            <v>6</v>
          </cell>
        </row>
        <row r="3986">
          <cell r="A3986" t="str">
            <v>71905488</v>
          </cell>
          <cell r="B3986">
            <v>4</v>
          </cell>
        </row>
        <row r="3987">
          <cell r="A3987" t="str">
            <v>71905500</v>
          </cell>
          <cell r="B3987">
            <v>3</v>
          </cell>
        </row>
        <row r="3988">
          <cell r="A3988" t="str">
            <v>71908350</v>
          </cell>
          <cell r="B3988">
            <v>9</v>
          </cell>
        </row>
        <row r="3989">
          <cell r="A3989" t="str">
            <v>71916490</v>
          </cell>
          <cell r="B3989">
            <v>3</v>
          </cell>
        </row>
        <row r="3990">
          <cell r="A3990" t="str">
            <v>71942231</v>
          </cell>
          <cell r="B3990">
            <v>3</v>
          </cell>
        </row>
        <row r="3991">
          <cell r="A3991" t="str">
            <v>71947230</v>
          </cell>
          <cell r="B3991">
            <v>2</v>
          </cell>
        </row>
        <row r="3992">
          <cell r="A3992" t="str">
            <v>71951328</v>
          </cell>
          <cell r="B3992">
            <v>10</v>
          </cell>
        </row>
        <row r="3993">
          <cell r="A3993" t="str">
            <v>71962237</v>
          </cell>
          <cell r="B3993">
            <v>55</v>
          </cell>
        </row>
        <row r="3994">
          <cell r="A3994" t="str">
            <v>71965720</v>
          </cell>
          <cell r="B3994">
            <v>23</v>
          </cell>
        </row>
        <row r="3995">
          <cell r="A3995" t="str">
            <v>71993059</v>
          </cell>
          <cell r="B3995">
            <v>1</v>
          </cell>
        </row>
        <row r="3996">
          <cell r="A3996" t="str">
            <v>71997997</v>
          </cell>
          <cell r="B3996">
            <v>6</v>
          </cell>
        </row>
        <row r="3997">
          <cell r="A3997" t="str">
            <v>71999627</v>
          </cell>
          <cell r="B3997">
            <v>2</v>
          </cell>
        </row>
        <row r="3998">
          <cell r="A3998" t="str">
            <v>72011824</v>
          </cell>
          <cell r="B3998">
            <v>1</v>
          </cell>
        </row>
        <row r="3999">
          <cell r="A3999" t="str">
            <v>72018088</v>
          </cell>
          <cell r="B3999">
            <v>31</v>
          </cell>
        </row>
        <row r="4000">
          <cell r="A4000" t="str">
            <v>72023324</v>
          </cell>
          <cell r="B4000">
            <v>6</v>
          </cell>
        </row>
        <row r="4001">
          <cell r="A4001" t="str">
            <v>72024502</v>
          </cell>
          <cell r="B4001">
            <v>30</v>
          </cell>
        </row>
        <row r="4002">
          <cell r="A4002" t="str">
            <v>72024503</v>
          </cell>
          <cell r="B4002">
            <v>22</v>
          </cell>
        </row>
        <row r="4003">
          <cell r="A4003" t="str">
            <v>72045637</v>
          </cell>
          <cell r="B4003">
            <v>4</v>
          </cell>
        </row>
        <row r="4004">
          <cell r="A4004" t="str">
            <v>72047106</v>
          </cell>
          <cell r="B4004">
            <v>50</v>
          </cell>
        </row>
        <row r="4005">
          <cell r="A4005" t="str">
            <v>72047768</v>
          </cell>
          <cell r="B4005">
            <v>7</v>
          </cell>
        </row>
        <row r="4006">
          <cell r="A4006" t="str">
            <v>72048418</v>
          </cell>
          <cell r="B4006">
            <v>12</v>
          </cell>
        </row>
        <row r="4007">
          <cell r="A4007" t="str">
            <v>72051475</v>
          </cell>
          <cell r="B4007">
            <v>16</v>
          </cell>
        </row>
        <row r="4008">
          <cell r="A4008" t="str">
            <v>72083439</v>
          </cell>
          <cell r="B4008">
            <v>6</v>
          </cell>
        </row>
        <row r="4009">
          <cell r="A4009" t="str">
            <v>72083709</v>
          </cell>
          <cell r="B4009">
            <v>10</v>
          </cell>
        </row>
        <row r="4010">
          <cell r="A4010" t="str">
            <v>72087685</v>
          </cell>
          <cell r="B4010">
            <v>6</v>
          </cell>
        </row>
        <row r="4011">
          <cell r="A4011" t="str">
            <v>72090937</v>
          </cell>
          <cell r="B4011">
            <v>4</v>
          </cell>
        </row>
        <row r="4012">
          <cell r="A4012" t="str">
            <v>72092189</v>
          </cell>
          <cell r="B4012">
            <v>1</v>
          </cell>
        </row>
        <row r="4013">
          <cell r="A4013" t="str">
            <v>72095499</v>
          </cell>
          <cell r="B4013">
            <v>2</v>
          </cell>
        </row>
        <row r="4014">
          <cell r="A4014" t="str">
            <v>72097010</v>
          </cell>
          <cell r="B4014">
            <v>4</v>
          </cell>
        </row>
        <row r="4015">
          <cell r="A4015" t="str">
            <v>72100015</v>
          </cell>
          <cell r="B4015">
            <v>4</v>
          </cell>
        </row>
        <row r="4016">
          <cell r="A4016" t="str">
            <v>72111271</v>
          </cell>
          <cell r="B4016">
            <v>33</v>
          </cell>
        </row>
        <row r="4017">
          <cell r="A4017" t="str">
            <v>72112689</v>
          </cell>
          <cell r="B4017">
            <v>12</v>
          </cell>
        </row>
        <row r="4018">
          <cell r="A4018" t="str">
            <v>72120856</v>
          </cell>
          <cell r="B4018">
            <v>1</v>
          </cell>
        </row>
        <row r="4019">
          <cell r="A4019" t="str">
            <v>72122088</v>
          </cell>
          <cell r="B4019">
            <v>1</v>
          </cell>
        </row>
        <row r="4020">
          <cell r="A4020" t="str">
            <v>72123563</v>
          </cell>
          <cell r="B4020">
            <v>5</v>
          </cell>
        </row>
        <row r="4021">
          <cell r="A4021" t="str">
            <v>72126927</v>
          </cell>
          <cell r="B4021">
            <v>5</v>
          </cell>
        </row>
        <row r="4022">
          <cell r="A4022" t="str">
            <v>72131333</v>
          </cell>
          <cell r="B4022">
            <v>2</v>
          </cell>
        </row>
        <row r="4023">
          <cell r="A4023" t="str">
            <v>72131529</v>
          </cell>
          <cell r="B4023">
            <v>1</v>
          </cell>
        </row>
        <row r="4024">
          <cell r="A4024" t="str">
            <v>72132171</v>
          </cell>
          <cell r="B4024">
            <v>6</v>
          </cell>
        </row>
        <row r="4025">
          <cell r="A4025" t="str">
            <v>72133839</v>
          </cell>
          <cell r="B4025">
            <v>1</v>
          </cell>
        </row>
        <row r="4026">
          <cell r="A4026" t="str">
            <v>72137596</v>
          </cell>
          <cell r="B4026">
            <v>9</v>
          </cell>
        </row>
        <row r="4027">
          <cell r="A4027" t="str">
            <v>72142324</v>
          </cell>
          <cell r="B4027">
            <v>3</v>
          </cell>
        </row>
        <row r="4028">
          <cell r="A4028" t="str">
            <v>72142778</v>
          </cell>
          <cell r="B4028">
            <v>2</v>
          </cell>
        </row>
        <row r="4029">
          <cell r="A4029" t="str">
            <v>72147040</v>
          </cell>
          <cell r="B4029">
            <v>1</v>
          </cell>
        </row>
        <row r="4030">
          <cell r="A4030" t="str">
            <v>72157256</v>
          </cell>
          <cell r="B4030">
            <v>4</v>
          </cell>
        </row>
        <row r="4031">
          <cell r="A4031" t="str">
            <v>72157606</v>
          </cell>
          <cell r="B4031">
            <v>7</v>
          </cell>
        </row>
        <row r="4032">
          <cell r="A4032" t="str">
            <v>72165945</v>
          </cell>
          <cell r="B4032">
            <v>4</v>
          </cell>
        </row>
        <row r="4033">
          <cell r="A4033" t="str">
            <v>72170249</v>
          </cell>
          <cell r="B4033">
            <v>48</v>
          </cell>
        </row>
        <row r="4034">
          <cell r="A4034" t="str">
            <v>72176923</v>
          </cell>
          <cell r="B4034">
            <v>4</v>
          </cell>
        </row>
        <row r="4035">
          <cell r="A4035" t="str">
            <v>72179378</v>
          </cell>
          <cell r="B4035">
            <v>9</v>
          </cell>
        </row>
        <row r="4036">
          <cell r="A4036" t="str">
            <v>72180969</v>
          </cell>
          <cell r="B4036">
            <v>7</v>
          </cell>
        </row>
        <row r="4037">
          <cell r="A4037" t="str">
            <v>72202235</v>
          </cell>
          <cell r="B4037">
            <v>2</v>
          </cell>
        </row>
        <row r="4038">
          <cell r="A4038" t="str">
            <v>72219812</v>
          </cell>
          <cell r="B4038">
            <v>4</v>
          </cell>
        </row>
        <row r="4039">
          <cell r="A4039" t="str">
            <v>72227029</v>
          </cell>
          <cell r="B4039">
            <v>52</v>
          </cell>
        </row>
        <row r="4040">
          <cell r="A4040" t="str">
            <v>72228636</v>
          </cell>
          <cell r="B4040">
            <v>11</v>
          </cell>
        </row>
        <row r="4041">
          <cell r="A4041" t="str">
            <v>72229595</v>
          </cell>
          <cell r="B4041">
            <v>7</v>
          </cell>
        </row>
        <row r="4042">
          <cell r="A4042" t="str">
            <v>72233280</v>
          </cell>
          <cell r="B4042">
            <v>2</v>
          </cell>
        </row>
        <row r="4043">
          <cell r="A4043" t="str">
            <v>72243817</v>
          </cell>
          <cell r="B4043">
            <v>1</v>
          </cell>
        </row>
        <row r="4044">
          <cell r="A4044" t="str">
            <v>72252426</v>
          </cell>
          <cell r="B4044">
            <v>10</v>
          </cell>
        </row>
        <row r="4045">
          <cell r="A4045" t="str">
            <v>72270127</v>
          </cell>
          <cell r="B4045">
            <v>22</v>
          </cell>
        </row>
        <row r="4046">
          <cell r="A4046" t="str">
            <v>72272850</v>
          </cell>
          <cell r="B4046">
            <v>14</v>
          </cell>
        </row>
        <row r="4047">
          <cell r="A4047" t="str">
            <v>72277913</v>
          </cell>
          <cell r="B4047">
            <v>31</v>
          </cell>
        </row>
        <row r="4048">
          <cell r="A4048" t="str">
            <v>72296342</v>
          </cell>
          <cell r="B4048">
            <v>28</v>
          </cell>
        </row>
        <row r="4049">
          <cell r="A4049" t="str">
            <v>72297476</v>
          </cell>
          <cell r="B4049">
            <v>4</v>
          </cell>
        </row>
        <row r="4050">
          <cell r="A4050" t="str">
            <v>72299091</v>
          </cell>
          <cell r="B4050">
            <v>2</v>
          </cell>
        </row>
        <row r="4051">
          <cell r="A4051" t="str">
            <v>72323591</v>
          </cell>
          <cell r="B4051">
            <v>3</v>
          </cell>
        </row>
        <row r="4052">
          <cell r="A4052" t="str">
            <v>72326365</v>
          </cell>
          <cell r="B4052">
            <v>12</v>
          </cell>
        </row>
        <row r="4053">
          <cell r="A4053" t="str">
            <v>72327353</v>
          </cell>
          <cell r="B4053">
            <v>3</v>
          </cell>
        </row>
        <row r="4054">
          <cell r="A4054" t="str">
            <v>72327498</v>
          </cell>
          <cell r="B4054">
            <v>2</v>
          </cell>
        </row>
        <row r="4055">
          <cell r="A4055" t="str">
            <v>72329569</v>
          </cell>
          <cell r="B4055">
            <v>1</v>
          </cell>
        </row>
        <row r="4056">
          <cell r="A4056" t="str">
            <v>72368041</v>
          </cell>
          <cell r="B4056">
            <v>8</v>
          </cell>
        </row>
        <row r="4057">
          <cell r="A4057" t="str">
            <v>72372766</v>
          </cell>
          <cell r="B4057">
            <v>10</v>
          </cell>
        </row>
        <row r="4058">
          <cell r="A4058" t="str">
            <v>72389398</v>
          </cell>
          <cell r="B4058">
            <v>28</v>
          </cell>
        </row>
        <row r="4059">
          <cell r="A4059" t="str">
            <v>72393617</v>
          </cell>
          <cell r="B4059">
            <v>20</v>
          </cell>
        </row>
        <row r="4060">
          <cell r="A4060" t="str">
            <v>72405164</v>
          </cell>
          <cell r="B4060">
            <v>3</v>
          </cell>
        </row>
        <row r="4061">
          <cell r="A4061" t="str">
            <v>72418899</v>
          </cell>
          <cell r="B4061">
            <v>6</v>
          </cell>
        </row>
        <row r="4062">
          <cell r="A4062" t="str">
            <v>72424893</v>
          </cell>
          <cell r="B4062">
            <v>16</v>
          </cell>
        </row>
        <row r="4063">
          <cell r="A4063" t="str">
            <v>72429967</v>
          </cell>
          <cell r="B4063">
            <v>26</v>
          </cell>
        </row>
        <row r="4064">
          <cell r="A4064" t="str">
            <v>72434533</v>
          </cell>
          <cell r="B4064">
            <v>7</v>
          </cell>
        </row>
        <row r="4065">
          <cell r="A4065" t="str">
            <v>72453660</v>
          </cell>
          <cell r="B4065">
            <v>10</v>
          </cell>
        </row>
        <row r="4066">
          <cell r="A4066" t="str">
            <v>72458018</v>
          </cell>
          <cell r="B4066">
            <v>15</v>
          </cell>
        </row>
        <row r="4067">
          <cell r="A4067" t="str">
            <v>72462128</v>
          </cell>
          <cell r="B4067">
            <v>5</v>
          </cell>
        </row>
        <row r="4068">
          <cell r="A4068" t="str">
            <v>72467247</v>
          </cell>
          <cell r="B4068">
            <v>5</v>
          </cell>
        </row>
        <row r="4069">
          <cell r="A4069" t="str">
            <v>72482201</v>
          </cell>
          <cell r="B4069">
            <v>4</v>
          </cell>
        </row>
        <row r="4070">
          <cell r="A4070" t="str">
            <v>72485700</v>
          </cell>
          <cell r="B4070">
            <v>3</v>
          </cell>
        </row>
        <row r="4071">
          <cell r="A4071" t="str">
            <v>72487240</v>
          </cell>
          <cell r="B4071">
            <v>3</v>
          </cell>
        </row>
        <row r="4072">
          <cell r="A4072" t="str">
            <v>72489033</v>
          </cell>
          <cell r="B4072">
            <v>6</v>
          </cell>
        </row>
        <row r="4073">
          <cell r="A4073" t="str">
            <v>72505623</v>
          </cell>
          <cell r="B4073">
            <v>3</v>
          </cell>
        </row>
        <row r="4074">
          <cell r="A4074" t="str">
            <v>72509357</v>
          </cell>
          <cell r="B4074">
            <v>10</v>
          </cell>
        </row>
        <row r="4075">
          <cell r="A4075" t="str">
            <v>72512521</v>
          </cell>
          <cell r="B4075">
            <v>1</v>
          </cell>
        </row>
        <row r="4076">
          <cell r="A4076" t="str">
            <v>72514061</v>
          </cell>
          <cell r="B4076">
            <v>2</v>
          </cell>
        </row>
        <row r="4077">
          <cell r="A4077" t="str">
            <v>72523581</v>
          </cell>
          <cell r="B4077">
            <v>6</v>
          </cell>
        </row>
        <row r="4078">
          <cell r="A4078" t="str">
            <v>72526475</v>
          </cell>
          <cell r="B4078">
            <v>3</v>
          </cell>
        </row>
        <row r="4079">
          <cell r="A4079" t="str">
            <v>72532973</v>
          </cell>
          <cell r="B4079">
            <v>6</v>
          </cell>
        </row>
        <row r="4080">
          <cell r="A4080" t="str">
            <v>72540765</v>
          </cell>
          <cell r="B4080">
            <v>4</v>
          </cell>
        </row>
        <row r="4081">
          <cell r="A4081" t="str">
            <v>72570218</v>
          </cell>
          <cell r="B4081">
            <v>1</v>
          </cell>
        </row>
        <row r="4082">
          <cell r="A4082" t="str">
            <v>72577018</v>
          </cell>
          <cell r="B4082">
            <v>25</v>
          </cell>
        </row>
        <row r="4083">
          <cell r="A4083" t="str">
            <v>72581163</v>
          </cell>
          <cell r="B4083">
            <v>8</v>
          </cell>
        </row>
        <row r="4084">
          <cell r="A4084" t="str">
            <v>72594047</v>
          </cell>
          <cell r="B4084">
            <v>1</v>
          </cell>
        </row>
        <row r="4085">
          <cell r="A4085" t="str">
            <v>72594322</v>
          </cell>
          <cell r="B4085">
            <v>3</v>
          </cell>
        </row>
        <row r="4086">
          <cell r="A4086" t="str">
            <v>72625643</v>
          </cell>
          <cell r="B4086">
            <v>6</v>
          </cell>
        </row>
        <row r="4087">
          <cell r="A4087" t="str">
            <v>72626446</v>
          </cell>
          <cell r="B4087">
            <v>1</v>
          </cell>
        </row>
        <row r="4088">
          <cell r="A4088" t="str">
            <v>72646435</v>
          </cell>
          <cell r="B4088">
            <v>11</v>
          </cell>
        </row>
        <row r="4089">
          <cell r="A4089" t="str">
            <v>72646878</v>
          </cell>
          <cell r="B4089">
            <v>4</v>
          </cell>
        </row>
        <row r="4090">
          <cell r="A4090" t="str">
            <v>72650487</v>
          </cell>
          <cell r="B4090">
            <v>88</v>
          </cell>
        </row>
        <row r="4091">
          <cell r="A4091" t="str">
            <v>72662247</v>
          </cell>
          <cell r="B4091">
            <v>29</v>
          </cell>
        </row>
        <row r="4092">
          <cell r="A4092" t="str">
            <v>72663165</v>
          </cell>
          <cell r="B4092">
            <v>4</v>
          </cell>
        </row>
        <row r="4093">
          <cell r="A4093" t="str">
            <v>72664115</v>
          </cell>
          <cell r="B4093">
            <v>5</v>
          </cell>
        </row>
        <row r="4094">
          <cell r="A4094" t="str">
            <v>72684000</v>
          </cell>
          <cell r="B4094">
            <v>4</v>
          </cell>
        </row>
        <row r="4095">
          <cell r="A4095" t="str">
            <v>72691519</v>
          </cell>
          <cell r="B4095">
            <v>10</v>
          </cell>
        </row>
        <row r="4096">
          <cell r="A4096" t="str">
            <v>72716545</v>
          </cell>
          <cell r="B4096">
            <v>3</v>
          </cell>
        </row>
        <row r="4097">
          <cell r="A4097" t="str">
            <v>72731495</v>
          </cell>
          <cell r="B4097">
            <v>1</v>
          </cell>
        </row>
        <row r="4098">
          <cell r="A4098" t="str">
            <v>72740472</v>
          </cell>
          <cell r="B4098">
            <v>2</v>
          </cell>
        </row>
        <row r="4099">
          <cell r="A4099" t="str">
            <v>72742018</v>
          </cell>
          <cell r="B4099">
            <v>1</v>
          </cell>
        </row>
        <row r="4100">
          <cell r="A4100" t="str">
            <v>72743336</v>
          </cell>
          <cell r="B4100">
            <v>1</v>
          </cell>
        </row>
        <row r="4101">
          <cell r="A4101" t="str">
            <v>72744628</v>
          </cell>
          <cell r="B4101">
            <v>2</v>
          </cell>
        </row>
        <row r="4102">
          <cell r="A4102" t="str">
            <v>72747539</v>
          </cell>
          <cell r="B4102">
            <v>11</v>
          </cell>
        </row>
        <row r="4103">
          <cell r="A4103" t="str">
            <v>72770839</v>
          </cell>
          <cell r="B4103">
            <v>3</v>
          </cell>
        </row>
        <row r="4104">
          <cell r="A4104" t="str">
            <v>72780450</v>
          </cell>
          <cell r="B4104">
            <v>15</v>
          </cell>
        </row>
        <row r="4105">
          <cell r="A4105" t="str">
            <v>72790179</v>
          </cell>
          <cell r="B4105">
            <v>3</v>
          </cell>
        </row>
        <row r="4106">
          <cell r="A4106" t="str">
            <v>72842400</v>
          </cell>
          <cell r="B4106">
            <v>3</v>
          </cell>
        </row>
        <row r="4107">
          <cell r="A4107" t="str">
            <v>72842460</v>
          </cell>
          <cell r="B4107">
            <v>1</v>
          </cell>
        </row>
        <row r="4108">
          <cell r="A4108" t="str">
            <v>72864927</v>
          </cell>
          <cell r="B4108">
            <v>9</v>
          </cell>
        </row>
        <row r="4109">
          <cell r="A4109" t="str">
            <v>72884223</v>
          </cell>
          <cell r="B4109">
            <v>12</v>
          </cell>
        </row>
        <row r="4110">
          <cell r="A4110" t="str">
            <v>72893345</v>
          </cell>
          <cell r="B4110">
            <v>6</v>
          </cell>
        </row>
        <row r="4111">
          <cell r="A4111" t="str">
            <v>72908243</v>
          </cell>
          <cell r="B4111">
            <v>17</v>
          </cell>
        </row>
        <row r="4112">
          <cell r="A4112" t="str">
            <v>72912586</v>
          </cell>
          <cell r="B4112">
            <v>1</v>
          </cell>
        </row>
        <row r="4113">
          <cell r="A4113" t="str">
            <v>72914832</v>
          </cell>
          <cell r="B4113">
            <v>107</v>
          </cell>
        </row>
        <row r="4114">
          <cell r="A4114" t="str">
            <v>72934804</v>
          </cell>
          <cell r="B4114">
            <v>39</v>
          </cell>
        </row>
        <row r="4115">
          <cell r="A4115" t="str">
            <v>72936168</v>
          </cell>
          <cell r="B4115">
            <v>205</v>
          </cell>
        </row>
        <row r="4116">
          <cell r="A4116" t="str">
            <v>72937957</v>
          </cell>
          <cell r="B4116">
            <v>4</v>
          </cell>
        </row>
        <row r="4117">
          <cell r="A4117" t="str">
            <v>72940920</v>
          </cell>
          <cell r="B4117">
            <v>13</v>
          </cell>
        </row>
        <row r="4118">
          <cell r="A4118" t="str">
            <v>72942624</v>
          </cell>
          <cell r="B4118">
            <v>5</v>
          </cell>
        </row>
        <row r="4119">
          <cell r="A4119" t="str">
            <v>72944662</v>
          </cell>
          <cell r="B4119">
            <v>1</v>
          </cell>
        </row>
        <row r="4120">
          <cell r="A4120" t="str">
            <v>72954539</v>
          </cell>
          <cell r="B4120">
            <v>2</v>
          </cell>
        </row>
        <row r="4121">
          <cell r="A4121" t="str">
            <v>72955938</v>
          </cell>
          <cell r="B4121">
            <v>5</v>
          </cell>
        </row>
        <row r="4122">
          <cell r="A4122" t="str">
            <v>72958870</v>
          </cell>
          <cell r="B4122">
            <v>6</v>
          </cell>
        </row>
        <row r="4123">
          <cell r="A4123" t="str">
            <v>72965805</v>
          </cell>
          <cell r="B4123">
            <v>2</v>
          </cell>
        </row>
        <row r="4124">
          <cell r="A4124" t="str">
            <v>72979090</v>
          </cell>
          <cell r="B4124">
            <v>1</v>
          </cell>
        </row>
        <row r="4125">
          <cell r="A4125" t="str">
            <v>73010795</v>
          </cell>
          <cell r="B4125">
            <v>4</v>
          </cell>
        </row>
        <row r="4126">
          <cell r="A4126" t="str">
            <v>73017384</v>
          </cell>
          <cell r="B4126">
            <v>21</v>
          </cell>
        </row>
        <row r="4127">
          <cell r="A4127" t="str">
            <v>73020399</v>
          </cell>
          <cell r="B4127">
            <v>4</v>
          </cell>
        </row>
        <row r="4128">
          <cell r="A4128" t="str">
            <v>73028707</v>
          </cell>
          <cell r="B4128">
            <v>4</v>
          </cell>
        </row>
        <row r="4129">
          <cell r="A4129" t="str">
            <v>73030071</v>
          </cell>
          <cell r="B4129">
            <v>3</v>
          </cell>
        </row>
        <row r="4130">
          <cell r="A4130" t="str">
            <v>73031224</v>
          </cell>
          <cell r="B4130">
            <v>3</v>
          </cell>
        </row>
        <row r="4131">
          <cell r="A4131" t="str">
            <v>73051875</v>
          </cell>
          <cell r="B4131">
            <v>15</v>
          </cell>
        </row>
        <row r="4132">
          <cell r="A4132" t="str">
            <v>73059650</v>
          </cell>
          <cell r="B4132">
            <v>24</v>
          </cell>
        </row>
        <row r="4133">
          <cell r="A4133" t="str">
            <v>73061008</v>
          </cell>
          <cell r="B4133">
            <v>1</v>
          </cell>
        </row>
        <row r="4134">
          <cell r="A4134" t="str">
            <v>73079318</v>
          </cell>
          <cell r="B4134">
            <v>86</v>
          </cell>
        </row>
        <row r="4135">
          <cell r="A4135" t="str">
            <v>73091233</v>
          </cell>
          <cell r="B4135">
            <v>6</v>
          </cell>
        </row>
        <row r="4136">
          <cell r="A4136" t="str">
            <v>73092174</v>
          </cell>
          <cell r="B4136">
            <v>12</v>
          </cell>
        </row>
        <row r="4137">
          <cell r="A4137" t="str">
            <v>73095618</v>
          </cell>
          <cell r="B4137">
            <v>3</v>
          </cell>
        </row>
        <row r="4138">
          <cell r="A4138" t="str">
            <v>73104669</v>
          </cell>
          <cell r="B4138">
            <v>2</v>
          </cell>
        </row>
        <row r="4139">
          <cell r="A4139" t="str">
            <v>73121392</v>
          </cell>
          <cell r="B4139">
            <v>6</v>
          </cell>
        </row>
        <row r="4140">
          <cell r="A4140" t="str">
            <v>73126187</v>
          </cell>
          <cell r="B4140">
            <v>1</v>
          </cell>
        </row>
        <row r="4141">
          <cell r="A4141" t="str">
            <v>73132666</v>
          </cell>
          <cell r="B4141">
            <v>5</v>
          </cell>
        </row>
        <row r="4142">
          <cell r="A4142" t="str">
            <v>73179050</v>
          </cell>
          <cell r="B4142">
            <v>11</v>
          </cell>
        </row>
        <row r="4143">
          <cell r="A4143" t="str">
            <v>73189945</v>
          </cell>
          <cell r="B4143">
            <v>7</v>
          </cell>
        </row>
        <row r="4144">
          <cell r="A4144" t="str">
            <v>73199747</v>
          </cell>
          <cell r="B4144">
            <v>2</v>
          </cell>
        </row>
        <row r="4145">
          <cell r="A4145" t="str">
            <v>73214193</v>
          </cell>
          <cell r="B4145">
            <v>7</v>
          </cell>
        </row>
        <row r="4146">
          <cell r="A4146" t="str">
            <v>73215837</v>
          </cell>
          <cell r="B4146">
            <v>8</v>
          </cell>
        </row>
        <row r="4147">
          <cell r="A4147" t="str">
            <v>73221666</v>
          </cell>
          <cell r="B4147">
            <v>2</v>
          </cell>
        </row>
        <row r="4148">
          <cell r="A4148" t="str">
            <v>73223206</v>
          </cell>
          <cell r="B4148">
            <v>4</v>
          </cell>
        </row>
        <row r="4149">
          <cell r="A4149" t="str">
            <v>73224081</v>
          </cell>
          <cell r="B4149">
            <v>1</v>
          </cell>
        </row>
        <row r="4150">
          <cell r="A4150" t="str">
            <v>73224934</v>
          </cell>
          <cell r="B4150">
            <v>102</v>
          </cell>
        </row>
        <row r="4151">
          <cell r="A4151" t="str">
            <v>73229845</v>
          </cell>
          <cell r="B4151">
            <v>6</v>
          </cell>
        </row>
        <row r="4152">
          <cell r="A4152" t="str">
            <v>73231647</v>
          </cell>
          <cell r="B4152">
            <v>1</v>
          </cell>
        </row>
        <row r="4153">
          <cell r="A4153" t="str">
            <v>73237543</v>
          </cell>
          <cell r="B4153">
            <v>7</v>
          </cell>
        </row>
        <row r="4154">
          <cell r="A4154" t="str">
            <v>73237684</v>
          </cell>
          <cell r="B4154">
            <v>8</v>
          </cell>
        </row>
        <row r="4155">
          <cell r="A4155" t="str">
            <v>73241297</v>
          </cell>
          <cell r="B4155">
            <v>4</v>
          </cell>
        </row>
        <row r="4156">
          <cell r="A4156" t="str">
            <v>73244844</v>
          </cell>
          <cell r="B4156">
            <v>1</v>
          </cell>
        </row>
        <row r="4157">
          <cell r="A4157" t="str">
            <v>73253726</v>
          </cell>
          <cell r="B4157">
            <v>2</v>
          </cell>
        </row>
        <row r="4158">
          <cell r="A4158" t="str">
            <v>73258526</v>
          </cell>
          <cell r="B4158">
            <v>5</v>
          </cell>
        </row>
        <row r="4159">
          <cell r="A4159" t="str">
            <v>73260433</v>
          </cell>
          <cell r="B4159">
            <v>7</v>
          </cell>
        </row>
        <row r="4160">
          <cell r="A4160" t="str">
            <v>73273994</v>
          </cell>
          <cell r="B4160">
            <v>1</v>
          </cell>
        </row>
        <row r="4161">
          <cell r="A4161" t="str">
            <v>73275313</v>
          </cell>
          <cell r="B4161">
            <v>14</v>
          </cell>
        </row>
        <row r="4162">
          <cell r="A4162" t="str">
            <v>73301157</v>
          </cell>
          <cell r="B4162">
            <v>21</v>
          </cell>
        </row>
        <row r="4163">
          <cell r="A4163" t="str">
            <v>73304344</v>
          </cell>
          <cell r="B4163">
            <v>4</v>
          </cell>
        </row>
        <row r="4164">
          <cell r="A4164" t="str">
            <v>73306996</v>
          </cell>
          <cell r="B4164">
            <v>6</v>
          </cell>
        </row>
        <row r="4165">
          <cell r="A4165" t="str">
            <v>73309814</v>
          </cell>
          <cell r="B4165">
            <v>11</v>
          </cell>
        </row>
        <row r="4166">
          <cell r="A4166" t="str">
            <v>73316119</v>
          </cell>
          <cell r="B4166">
            <v>17</v>
          </cell>
        </row>
        <row r="4167">
          <cell r="A4167" t="str">
            <v>73324687</v>
          </cell>
          <cell r="B4167">
            <v>4</v>
          </cell>
        </row>
        <row r="4168">
          <cell r="A4168" t="str">
            <v>73327067</v>
          </cell>
          <cell r="B4168">
            <v>1</v>
          </cell>
        </row>
        <row r="4169">
          <cell r="A4169" t="str">
            <v>73329781</v>
          </cell>
          <cell r="B4169">
            <v>1</v>
          </cell>
        </row>
        <row r="4170">
          <cell r="A4170" t="str">
            <v>73330906</v>
          </cell>
          <cell r="B4170">
            <v>20</v>
          </cell>
        </row>
        <row r="4171">
          <cell r="A4171" t="str">
            <v>73333940</v>
          </cell>
          <cell r="B4171">
            <v>6</v>
          </cell>
        </row>
        <row r="4172">
          <cell r="A4172" t="str">
            <v>73335729</v>
          </cell>
          <cell r="B4172">
            <v>4</v>
          </cell>
        </row>
        <row r="4173">
          <cell r="A4173" t="str">
            <v>73341524</v>
          </cell>
          <cell r="B4173">
            <v>3</v>
          </cell>
        </row>
        <row r="4174">
          <cell r="A4174" t="str">
            <v>73352119</v>
          </cell>
          <cell r="B4174">
            <v>15</v>
          </cell>
        </row>
        <row r="4175">
          <cell r="A4175" t="str">
            <v>73360211</v>
          </cell>
          <cell r="B4175">
            <v>24</v>
          </cell>
        </row>
        <row r="4176">
          <cell r="A4176" t="str">
            <v>73362547</v>
          </cell>
          <cell r="B4176">
            <v>14</v>
          </cell>
        </row>
        <row r="4177">
          <cell r="A4177" t="str">
            <v>73366498</v>
          </cell>
          <cell r="B4177">
            <v>6</v>
          </cell>
        </row>
        <row r="4178">
          <cell r="A4178" t="str">
            <v>73378729</v>
          </cell>
          <cell r="B4178">
            <v>27</v>
          </cell>
        </row>
        <row r="4179">
          <cell r="A4179" t="str">
            <v>73383205</v>
          </cell>
          <cell r="B4179">
            <v>14</v>
          </cell>
        </row>
        <row r="4180">
          <cell r="A4180" t="str">
            <v>73385829</v>
          </cell>
          <cell r="B4180">
            <v>28</v>
          </cell>
        </row>
        <row r="4181">
          <cell r="A4181" t="str">
            <v>73417041</v>
          </cell>
          <cell r="B4181">
            <v>6</v>
          </cell>
        </row>
        <row r="4182">
          <cell r="A4182" t="str">
            <v>73422121</v>
          </cell>
          <cell r="B4182">
            <v>2</v>
          </cell>
        </row>
        <row r="4183">
          <cell r="A4183" t="str">
            <v>73428471</v>
          </cell>
          <cell r="B4183">
            <v>3</v>
          </cell>
        </row>
        <row r="4184">
          <cell r="A4184" t="str">
            <v>73431884</v>
          </cell>
          <cell r="B4184">
            <v>2</v>
          </cell>
        </row>
        <row r="4185">
          <cell r="A4185" t="str">
            <v>73441884</v>
          </cell>
          <cell r="B4185">
            <v>7</v>
          </cell>
        </row>
        <row r="4186">
          <cell r="A4186" t="str">
            <v>73442339</v>
          </cell>
          <cell r="B4186">
            <v>5</v>
          </cell>
        </row>
        <row r="4187">
          <cell r="A4187" t="str">
            <v>73443559</v>
          </cell>
          <cell r="B4187">
            <v>52</v>
          </cell>
        </row>
        <row r="4188">
          <cell r="A4188" t="str">
            <v>73454584</v>
          </cell>
          <cell r="B4188">
            <v>10</v>
          </cell>
        </row>
        <row r="4189">
          <cell r="A4189" t="str">
            <v>73464488</v>
          </cell>
          <cell r="B4189">
            <v>2</v>
          </cell>
        </row>
        <row r="4190">
          <cell r="A4190" t="str">
            <v>73475588</v>
          </cell>
          <cell r="B4190">
            <v>23</v>
          </cell>
        </row>
        <row r="4191">
          <cell r="A4191" t="str">
            <v>73478024</v>
          </cell>
          <cell r="B4191">
            <v>7</v>
          </cell>
        </row>
        <row r="4192">
          <cell r="A4192" t="str">
            <v>73483023</v>
          </cell>
          <cell r="B4192">
            <v>4</v>
          </cell>
        </row>
        <row r="4193">
          <cell r="A4193" t="str">
            <v>73491558</v>
          </cell>
          <cell r="B4193">
            <v>4</v>
          </cell>
        </row>
        <row r="4194">
          <cell r="A4194" t="str">
            <v>73492785</v>
          </cell>
          <cell r="B4194">
            <v>3</v>
          </cell>
        </row>
        <row r="4195">
          <cell r="A4195" t="str">
            <v>73496589</v>
          </cell>
          <cell r="B4195">
            <v>7</v>
          </cell>
        </row>
        <row r="4196">
          <cell r="A4196" t="str">
            <v>73506644</v>
          </cell>
          <cell r="B4196">
            <v>22</v>
          </cell>
        </row>
        <row r="4197">
          <cell r="A4197" t="str">
            <v>73508776</v>
          </cell>
          <cell r="B4197">
            <v>2</v>
          </cell>
        </row>
        <row r="4198">
          <cell r="A4198" t="str">
            <v>73512135</v>
          </cell>
          <cell r="B4198">
            <v>2</v>
          </cell>
        </row>
        <row r="4199">
          <cell r="A4199" t="str">
            <v>73517354</v>
          </cell>
          <cell r="B4199">
            <v>11</v>
          </cell>
        </row>
        <row r="4200">
          <cell r="A4200" t="str">
            <v>73518576</v>
          </cell>
          <cell r="B4200">
            <v>1</v>
          </cell>
        </row>
        <row r="4201">
          <cell r="A4201" t="str">
            <v>73522095</v>
          </cell>
          <cell r="B4201">
            <v>11</v>
          </cell>
        </row>
        <row r="4202">
          <cell r="A4202" t="str">
            <v>73524360</v>
          </cell>
          <cell r="B4202">
            <v>4</v>
          </cell>
        </row>
        <row r="4203">
          <cell r="A4203" t="str">
            <v>73528208</v>
          </cell>
          <cell r="B4203">
            <v>11</v>
          </cell>
        </row>
        <row r="4204">
          <cell r="A4204" t="str">
            <v>73528613</v>
          </cell>
          <cell r="B4204">
            <v>18</v>
          </cell>
        </row>
        <row r="4205">
          <cell r="A4205" t="str">
            <v>73530307</v>
          </cell>
          <cell r="B4205">
            <v>4</v>
          </cell>
        </row>
        <row r="4206">
          <cell r="A4206" t="str">
            <v>73533059</v>
          </cell>
          <cell r="B4206">
            <v>10</v>
          </cell>
        </row>
        <row r="4207">
          <cell r="A4207" t="str">
            <v>73533877</v>
          </cell>
          <cell r="B4207">
            <v>151</v>
          </cell>
        </row>
        <row r="4208">
          <cell r="A4208" t="str">
            <v>73535845</v>
          </cell>
          <cell r="B4208">
            <v>1</v>
          </cell>
        </row>
        <row r="4209">
          <cell r="A4209" t="str">
            <v>73545566</v>
          </cell>
          <cell r="B4209">
            <v>1</v>
          </cell>
        </row>
        <row r="4210">
          <cell r="A4210" t="str">
            <v>73546167</v>
          </cell>
          <cell r="B4210">
            <v>11</v>
          </cell>
        </row>
        <row r="4211">
          <cell r="A4211" t="str">
            <v>73547278</v>
          </cell>
          <cell r="B4211">
            <v>1</v>
          </cell>
        </row>
        <row r="4212">
          <cell r="A4212" t="str">
            <v>73568283</v>
          </cell>
          <cell r="B4212">
            <v>2</v>
          </cell>
        </row>
        <row r="4213">
          <cell r="A4213" t="str">
            <v>73568805</v>
          </cell>
          <cell r="B4213">
            <v>51</v>
          </cell>
        </row>
        <row r="4214">
          <cell r="A4214" t="str">
            <v>73573709</v>
          </cell>
          <cell r="B4214">
            <v>7</v>
          </cell>
        </row>
        <row r="4215">
          <cell r="A4215" t="str">
            <v>73575828</v>
          </cell>
          <cell r="B4215">
            <v>8</v>
          </cell>
        </row>
        <row r="4216">
          <cell r="A4216" t="str">
            <v>73575915</v>
          </cell>
          <cell r="B4216">
            <v>13</v>
          </cell>
        </row>
        <row r="4217">
          <cell r="A4217" t="str">
            <v>73576702</v>
          </cell>
          <cell r="B4217">
            <v>3</v>
          </cell>
        </row>
        <row r="4218">
          <cell r="A4218" t="str">
            <v>73577647</v>
          </cell>
          <cell r="B4218">
            <v>22</v>
          </cell>
        </row>
        <row r="4219">
          <cell r="A4219" t="str">
            <v>73578152</v>
          </cell>
          <cell r="B4219">
            <v>4</v>
          </cell>
        </row>
        <row r="4220">
          <cell r="A4220" t="str">
            <v>73578157</v>
          </cell>
          <cell r="B4220">
            <v>7</v>
          </cell>
        </row>
        <row r="4221">
          <cell r="A4221" t="str">
            <v>73590117</v>
          </cell>
          <cell r="B4221">
            <v>6</v>
          </cell>
        </row>
        <row r="4222">
          <cell r="A4222" t="str">
            <v>73596855</v>
          </cell>
          <cell r="B4222">
            <v>3</v>
          </cell>
        </row>
        <row r="4223">
          <cell r="A4223" t="str">
            <v>73601074</v>
          </cell>
          <cell r="B4223">
            <v>1</v>
          </cell>
        </row>
        <row r="4224">
          <cell r="A4224" t="str">
            <v>73601476</v>
          </cell>
          <cell r="B4224">
            <v>8</v>
          </cell>
        </row>
        <row r="4225">
          <cell r="A4225" t="str">
            <v>73605708</v>
          </cell>
          <cell r="B4225">
            <v>2</v>
          </cell>
        </row>
        <row r="4226">
          <cell r="A4226" t="str">
            <v>73610960</v>
          </cell>
          <cell r="B4226">
            <v>29</v>
          </cell>
        </row>
        <row r="4227">
          <cell r="A4227" t="str">
            <v>73616052</v>
          </cell>
          <cell r="B4227">
            <v>14</v>
          </cell>
        </row>
        <row r="4228">
          <cell r="A4228" t="str">
            <v>73621795</v>
          </cell>
          <cell r="B4228">
            <v>2</v>
          </cell>
        </row>
        <row r="4229">
          <cell r="A4229" t="str">
            <v>73621829</v>
          </cell>
          <cell r="B4229">
            <v>2</v>
          </cell>
        </row>
        <row r="4230">
          <cell r="A4230" t="str">
            <v>73642479</v>
          </cell>
          <cell r="B4230">
            <v>3</v>
          </cell>
        </row>
        <row r="4231">
          <cell r="A4231" t="str">
            <v>73643056</v>
          </cell>
          <cell r="B4231">
            <v>9</v>
          </cell>
        </row>
        <row r="4232">
          <cell r="A4232" t="str">
            <v>73643687</v>
          </cell>
          <cell r="B4232">
            <v>12</v>
          </cell>
        </row>
        <row r="4233">
          <cell r="A4233" t="str">
            <v>73644121</v>
          </cell>
          <cell r="B4233">
            <v>13</v>
          </cell>
        </row>
        <row r="4234">
          <cell r="A4234" t="str">
            <v>73644158</v>
          </cell>
          <cell r="B4234">
            <v>2</v>
          </cell>
        </row>
        <row r="4235">
          <cell r="A4235" t="str">
            <v>73645607</v>
          </cell>
          <cell r="B4235">
            <v>2</v>
          </cell>
        </row>
        <row r="4236">
          <cell r="A4236" t="str">
            <v>73645734</v>
          </cell>
          <cell r="B4236">
            <v>2</v>
          </cell>
        </row>
        <row r="4237">
          <cell r="A4237" t="str">
            <v>73648270</v>
          </cell>
          <cell r="B4237">
            <v>1</v>
          </cell>
        </row>
        <row r="4238">
          <cell r="A4238" t="str">
            <v>73653806</v>
          </cell>
          <cell r="B4238">
            <v>2</v>
          </cell>
        </row>
        <row r="4239">
          <cell r="A4239" t="str">
            <v>73658959</v>
          </cell>
          <cell r="B4239">
            <v>2</v>
          </cell>
        </row>
        <row r="4240">
          <cell r="A4240" t="str">
            <v>73667799</v>
          </cell>
          <cell r="B4240">
            <v>7</v>
          </cell>
        </row>
        <row r="4241">
          <cell r="A4241" t="str">
            <v>73672281</v>
          </cell>
          <cell r="B4241">
            <v>11</v>
          </cell>
        </row>
        <row r="4242">
          <cell r="A4242" t="str">
            <v>73678811</v>
          </cell>
          <cell r="B4242">
            <v>3</v>
          </cell>
        </row>
        <row r="4243">
          <cell r="A4243" t="str">
            <v>73682228</v>
          </cell>
          <cell r="B4243">
            <v>4</v>
          </cell>
        </row>
        <row r="4244">
          <cell r="A4244" t="str">
            <v>73683167</v>
          </cell>
          <cell r="B4244">
            <v>3</v>
          </cell>
        </row>
        <row r="4245">
          <cell r="A4245" t="str">
            <v>73683399</v>
          </cell>
          <cell r="B4245">
            <v>1</v>
          </cell>
        </row>
        <row r="4246">
          <cell r="A4246" t="str">
            <v>73683478</v>
          </cell>
          <cell r="B4246">
            <v>3</v>
          </cell>
        </row>
        <row r="4247">
          <cell r="A4247" t="str">
            <v>73709199</v>
          </cell>
          <cell r="B4247">
            <v>6</v>
          </cell>
        </row>
        <row r="4248">
          <cell r="A4248" t="str">
            <v>73709236</v>
          </cell>
          <cell r="B4248">
            <v>5</v>
          </cell>
        </row>
        <row r="4249">
          <cell r="A4249" t="str">
            <v>73713531</v>
          </cell>
          <cell r="B4249">
            <v>6</v>
          </cell>
        </row>
        <row r="4250">
          <cell r="A4250" t="str">
            <v>73735616</v>
          </cell>
          <cell r="B4250">
            <v>1</v>
          </cell>
        </row>
        <row r="4251">
          <cell r="A4251" t="str">
            <v>73744450</v>
          </cell>
          <cell r="B4251">
            <v>17</v>
          </cell>
        </row>
        <row r="4252">
          <cell r="A4252" t="str">
            <v>73744847</v>
          </cell>
          <cell r="B4252">
            <v>11</v>
          </cell>
        </row>
        <row r="4253">
          <cell r="A4253" t="str">
            <v>73746015</v>
          </cell>
          <cell r="B4253">
            <v>10</v>
          </cell>
        </row>
        <row r="4254">
          <cell r="A4254" t="str">
            <v>73747590</v>
          </cell>
          <cell r="B4254">
            <v>7</v>
          </cell>
        </row>
        <row r="4255">
          <cell r="A4255" t="str">
            <v>73751405</v>
          </cell>
          <cell r="B4255">
            <v>5</v>
          </cell>
        </row>
        <row r="4256">
          <cell r="A4256" t="str">
            <v>73751977</v>
          </cell>
          <cell r="B4256">
            <v>2</v>
          </cell>
        </row>
        <row r="4257">
          <cell r="A4257" t="str">
            <v>73758956</v>
          </cell>
          <cell r="B4257">
            <v>1</v>
          </cell>
        </row>
        <row r="4258">
          <cell r="A4258" t="str">
            <v>73775475</v>
          </cell>
          <cell r="B4258">
            <v>2</v>
          </cell>
        </row>
        <row r="4259">
          <cell r="A4259" t="str">
            <v>73784057</v>
          </cell>
          <cell r="B4259">
            <v>4</v>
          </cell>
        </row>
        <row r="4260">
          <cell r="A4260" t="str">
            <v>73786012</v>
          </cell>
          <cell r="B4260">
            <v>2</v>
          </cell>
        </row>
        <row r="4261">
          <cell r="A4261" t="str">
            <v>73794227</v>
          </cell>
          <cell r="B4261">
            <v>2</v>
          </cell>
        </row>
        <row r="4262">
          <cell r="A4262" t="str">
            <v>73806222</v>
          </cell>
          <cell r="B4262">
            <v>4</v>
          </cell>
        </row>
        <row r="4263">
          <cell r="A4263" t="str">
            <v>73807867</v>
          </cell>
          <cell r="B4263">
            <v>5</v>
          </cell>
        </row>
        <row r="4264">
          <cell r="A4264" t="str">
            <v>73824181</v>
          </cell>
          <cell r="B4264">
            <v>45</v>
          </cell>
        </row>
        <row r="4265">
          <cell r="A4265" t="str">
            <v>73827573</v>
          </cell>
          <cell r="B4265">
            <v>5</v>
          </cell>
        </row>
        <row r="4266">
          <cell r="A4266" t="str">
            <v>73830169</v>
          </cell>
          <cell r="B4266">
            <v>1</v>
          </cell>
        </row>
        <row r="4267">
          <cell r="A4267" t="str">
            <v>73853058</v>
          </cell>
          <cell r="B4267">
            <v>4</v>
          </cell>
        </row>
        <row r="4268">
          <cell r="A4268" t="str">
            <v>73857833</v>
          </cell>
          <cell r="B4268">
            <v>2</v>
          </cell>
        </row>
        <row r="4269">
          <cell r="A4269" t="str">
            <v>73861737</v>
          </cell>
          <cell r="B4269">
            <v>58</v>
          </cell>
        </row>
        <row r="4270">
          <cell r="A4270" t="str">
            <v>73862828</v>
          </cell>
          <cell r="B4270">
            <v>2</v>
          </cell>
        </row>
        <row r="4271">
          <cell r="A4271" t="str">
            <v>73872676</v>
          </cell>
          <cell r="B4271">
            <v>5</v>
          </cell>
        </row>
        <row r="4272">
          <cell r="A4272" t="str">
            <v>73874258</v>
          </cell>
          <cell r="B4272">
            <v>3</v>
          </cell>
        </row>
        <row r="4273">
          <cell r="A4273" t="str">
            <v>73879266</v>
          </cell>
          <cell r="B4273">
            <v>12</v>
          </cell>
        </row>
        <row r="4274">
          <cell r="A4274" t="str">
            <v>73880819</v>
          </cell>
          <cell r="B4274">
            <v>13</v>
          </cell>
        </row>
        <row r="4275">
          <cell r="A4275" t="str">
            <v>73886061</v>
          </cell>
          <cell r="B4275">
            <v>4</v>
          </cell>
        </row>
        <row r="4276">
          <cell r="A4276" t="str">
            <v>73905223</v>
          </cell>
          <cell r="B4276">
            <v>6</v>
          </cell>
        </row>
        <row r="4277">
          <cell r="A4277" t="str">
            <v>73905730</v>
          </cell>
          <cell r="B4277">
            <v>2</v>
          </cell>
        </row>
        <row r="4278">
          <cell r="A4278" t="str">
            <v>73926518</v>
          </cell>
          <cell r="B4278">
            <v>16</v>
          </cell>
        </row>
        <row r="4279">
          <cell r="A4279" t="str">
            <v>73939498</v>
          </cell>
          <cell r="B4279">
            <v>24</v>
          </cell>
        </row>
        <row r="4280">
          <cell r="A4280" t="str">
            <v>73952275</v>
          </cell>
          <cell r="B4280">
            <v>1</v>
          </cell>
        </row>
        <row r="4281">
          <cell r="A4281" t="str">
            <v>73963204</v>
          </cell>
          <cell r="B4281">
            <v>3</v>
          </cell>
        </row>
        <row r="4282">
          <cell r="A4282" t="str">
            <v>73971577</v>
          </cell>
          <cell r="B4282">
            <v>5</v>
          </cell>
        </row>
        <row r="4283">
          <cell r="A4283" t="str">
            <v>73973509</v>
          </cell>
          <cell r="B4283">
            <v>13</v>
          </cell>
        </row>
        <row r="4284">
          <cell r="A4284" t="str">
            <v>73984259</v>
          </cell>
          <cell r="B4284">
            <v>31</v>
          </cell>
        </row>
        <row r="4285">
          <cell r="A4285" t="str">
            <v>73986280</v>
          </cell>
          <cell r="B4285">
            <v>9</v>
          </cell>
        </row>
        <row r="4286">
          <cell r="A4286" t="str">
            <v>73986782</v>
          </cell>
          <cell r="B4286">
            <v>2</v>
          </cell>
        </row>
        <row r="4287">
          <cell r="A4287" t="str">
            <v>73988562</v>
          </cell>
          <cell r="B4287">
            <v>1</v>
          </cell>
        </row>
        <row r="4288">
          <cell r="A4288" t="str">
            <v>73989226</v>
          </cell>
          <cell r="B4288">
            <v>1</v>
          </cell>
        </row>
        <row r="4289">
          <cell r="A4289" t="str">
            <v>73997648</v>
          </cell>
          <cell r="B4289">
            <v>45</v>
          </cell>
        </row>
        <row r="4290">
          <cell r="A4290" t="str">
            <v>74022300</v>
          </cell>
          <cell r="B4290">
            <v>5</v>
          </cell>
        </row>
        <row r="4291">
          <cell r="A4291" t="str">
            <v>74066319</v>
          </cell>
          <cell r="B4291">
            <v>6</v>
          </cell>
        </row>
        <row r="4292">
          <cell r="A4292" t="str">
            <v>74067661</v>
          </cell>
          <cell r="B4292">
            <v>4</v>
          </cell>
        </row>
        <row r="4293">
          <cell r="A4293" t="str">
            <v>74069022</v>
          </cell>
          <cell r="B4293">
            <v>7</v>
          </cell>
        </row>
        <row r="4294">
          <cell r="A4294" t="str">
            <v>74074140</v>
          </cell>
          <cell r="B4294">
            <v>1</v>
          </cell>
        </row>
        <row r="4295">
          <cell r="A4295" t="str">
            <v>74077934</v>
          </cell>
          <cell r="B4295">
            <v>9</v>
          </cell>
        </row>
        <row r="4296">
          <cell r="A4296" t="str">
            <v>74081592</v>
          </cell>
          <cell r="B4296">
            <v>4</v>
          </cell>
        </row>
        <row r="4297">
          <cell r="A4297" t="str">
            <v>74083642</v>
          </cell>
          <cell r="B4297">
            <v>3</v>
          </cell>
        </row>
        <row r="4298">
          <cell r="A4298" t="str">
            <v>74089022</v>
          </cell>
          <cell r="B4298">
            <v>5</v>
          </cell>
        </row>
        <row r="4299">
          <cell r="A4299" t="str">
            <v>74092212</v>
          </cell>
          <cell r="B4299">
            <v>1</v>
          </cell>
        </row>
        <row r="4300">
          <cell r="A4300" t="str">
            <v>74107081</v>
          </cell>
          <cell r="B4300">
            <v>7</v>
          </cell>
        </row>
        <row r="4301">
          <cell r="A4301" t="str">
            <v>74122752</v>
          </cell>
          <cell r="B4301">
            <v>2</v>
          </cell>
        </row>
        <row r="4302">
          <cell r="A4302" t="str">
            <v>74124654</v>
          </cell>
          <cell r="B4302">
            <v>8</v>
          </cell>
        </row>
        <row r="4303">
          <cell r="A4303" t="str">
            <v>74124813</v>
          </cell>
          <cell r="B4303">
            <v>10</v>
          </cell>
        </row>
        <row r="4304">
          <cell r="A4304" t="str">
            <v>74131564</v>
          </cell>
          <cell r="B4304">
            <v>97</v>
          </cell>
        </row>
        <row r="4305">
          <cell r="A4305" t="str">
            <v>74138729</v>
          </cell>
          <cell r="B4305">
            <v>9</v>
          </cell>
        </row>
        <row r="4306">
          <cell r="A4306" t="str">
            <v>74140056</v>
          </cell>
          <cell r="B4306">
            <v>4</v>
          </cell>
        </row>
        <row r="4307">
          <cell r="A4307" t="str">
            <v>74143204</v>
          </cell>
          <cell r="B4307">
            <v>4</v>
          </cell>
        </row>
        <row r="4308">
          <cell r="A4308" t="str">
            <v>74145353</v>
          </cell>
          <cell r="B4308">
            <v>1</v>
          </cell>
        </row>
        <row r="4309">
          <cell r="A4309" t="str">
            <v>74146857</v>
          </cell>
          <cell r="B4309">
            <v>2</v>
          </cell>
        </row>
        <row r="4310">
          <cell r="A4310" t="str">
            <v>74156774</v>
          </cell>
          <cell r="B4310">
            <v>1</v>
          </cell>
        </row>
        <row r="4311">
          <cell r="A4311" t="str">
            <v>74157053</v>
          </cell>
          <cell r="B4311">
            <v>4</v>
          </cell>
        </row>
        <row r="4312">
          <cell r="A4312" t="str">
            <v>74157674</v>
          </cell>
          <cell r="B4312">
            <v>13</v>
          </cell>
        </row>
        <row r="4313">
          <cell r="A4313" t="str">
            <v>74162022</v>
          </cell>
          <cell r="B4313">
            <v>7</v>
          </cell>
        </row>
        <row r="4314">
          <cell r="A4314" t="str">
            <v>74168989</v>
          </cell>
          <cell r="B4314">
            <v>6</v>
          </cell>
        </row>
        <row r="4315">
          <cell r="A4315" t="str">
            <v>74174189</v>
          </cell>
          <cell r="B4315">
            <v>4</v>
          </cell>
        </row>
        <row r="4316">
          <cell r="A4316" t="str">
            <v>74175624</v>
          </cell>
          <cell r="B4316">
            <v>6</v>
          </cell>
        </row>
        <row r="4317">
          <cell r="A4317" t="str">
            <v>74210980</v>
          </cell>
          <cell r="B4317">
            <v>7</v>
          </cell>
        </row>
        <row r="4318">
          <cell r="A4318" t="str">
            <v>74236300</v>
          </cell>
          <cell r="B4318">
            <v>2</v>
          </cell>
        </row>
        <row r="4319">
          <cell r="A4319" t="str">
            <v>74245405</v>
          </cell>
          <cell r="B4319">
            <v>10</v>
          </cell>
        </row>
        <row r="4320">
          <cell r="A4320" t="str">
            <v>74279734</v>
          </cell>
          <cell r="B4320">
            <v>5</v>
          </cell>
        </row>
        <row r="4321">
          <cell r="A4321" t="str">
            <v>74283467</v>
          </cell>
          <cell r="B4321">
            <v>6</v>
          </cell>
        </row>
        <row r="4322">
          <cell r="A4322" t="str">
            <v>74288825</v>
          </cell>
          <cell r="B4322">
            <v>8</v>
          </cell>
        </row>
        <row r="4323">
          <cell r="A4323" t="str">
            <v>74305490</v>
          </cell>
          <cell r="B4323">
            <v>7</v>
          </cell>
        </row>
        <row r="4324">
          <cell r="A4324" t="str">
            <v>74310365</v>
          </cell>
          <cell r="B4324">
            <v>4</v>
          </cell>
        </row>
        <row r="4325">
          <cell r="A4325" t="str">
            <v>74317912</v>
          </cell>
          <cell r="B4325">
            <v>23</v>
          </cell>
        </row>
        <row r="4326">
          <cell r="A4326" t="str">
            <v>74318140</v>
          </cell>
          <cell r="B4326">
            <v>3</v>
          </cell>
        </row>
        <row r="4327">
          <cell r="A4327" t="str">
            <v>74363557</v>
          </cell>
          <cell r="B4327">
            <v>6</v>
          </cell>
        </row>
        <row r="4328">
          <cell r="A4328" t="str">
            <v>74380003</v>
          </cell>
          <cell r="B4328">
            <v>5</v>
          </cell>
        </row>
        <row r="4329">
          <cell r="A4329" t="str">
            <v>74396321</v>
          </cell>
          <cell r="B4329">
            <v>19</v>
          </cell>
        </row>
        <row r="4330">
          <cell r="A4330" t="str">
            <v>74401033</v>
          </cell>
          <cell r="B4330">
            <v>12</v>
          </cell>
        </row>
        <row r="4331">
          <cell r="A4331" t="str">
            <v>74402698</v>
          </cell>
          <cell r="B4331">
            <v>30</v>
          </cell>
        </row>
        <row r="4332">
          <cell r="A4332" t="str">
            <v>74420244</v>
          </cell>
          <cell r="B4332">
            <v>8</v>
          </cell>
        </row>
        <row r="4333">
          <cell r="A4333" t="str">
            <v>74427621</v>
          </cell>
          <cell r="B4333">
            <v>6</v>
          </cell>
        </row>
        <row r="4334">
          <cell r="A4334" t="str">
            <v>74428857</v>
          </cell>
          <cell r="B4334">
            <v>14</v>
          </cell>
        </row>
        <row r="4335">
          <cell r="A4335" t="str">
            <v>74435542</v>
          </cell>
          <cell r="B4335">
            <v>8</v>
          </cell>
        </row>
        <row r="4336">
          <cell r="A4336" t="str">
            <v>74435593</v>
          </cell>
          <cell r="B4336">
            <v>10</v>
          </cell>
        </row>
        <row r="4337">
          <cell r="A4337" t="str">
            <v>74453130</v>
          </cell>
          <cell r="B4337">
            <v>35</v>
          </cell>
        </row>
        <row r="4338">
          <cell r="A4338" t="str">
            <v>74457099</v>
          </cell>
          <cell r="B4338">
            <v>3</v>
          </cell>
        </row>
        <row r="4339">
          <cell r="A4339" t="str">
            <v>74466657</v>
          </cell>
          <cell r="B4339">
            <v>2</v>
          </cell>
        </row>
        <row r="4340">
          <cell r="A4340" t="str">
            <v>74467545</v>
          </cell>
          <cell r="B4340">
            <v>11</v>
          </cell>
        </row>
        <row r="4341">
          <cell r="A4341" t="str">
            <v>74497494</v>
          </cell>
          <cell r="B4341">
            <v>1</v>
          </cell>
        </row>
        <row r="4342">
          <cell r="A4342" t="str">
            <v>74497613</v>
          </cell>
          <cell r="B4342">
            <v>8</v>
          </cell>
        </row>
        <row r="4343">
          <cell r="A4343" t="str">
            <v>74528018</v>
          </cell>
          <cell r="B4343">
            <v>1</v>
          </cell>
        </row>
        <row r="4344">
          <cell r="A4344" t="str">
            <v>74531553</v>
          </cell>
          <cell r="B4344">
            <v>2</v>
          </cell>
        </row>
        <row r="4345">
          <cell r="A4345" t="str">
            <v>74550334</v>
          </cell>
          <cell r="B4345">
            <v>1</v>
          </cell>
        </row>
        <row r="4346">
          <cell r="A4346" t="str">
            <v>74551606</v>
          </cell>
          <cell r="B4346">
            <v>13</v>
          </cell>
        </row>
        <row r="4347">
          <cell r="A4347" t="str">
            <v>74555067</v>
          </cell>
          <cell r="B4347">
            <v>5</v>
          </cell>
        </row>
        <row r="4348">
          <cell r="A4348" t="str">
            <v>74558188</v>
          </cell>
          <cell r="B4348">
            <v>2</v>
          </cell>
        </row>
        <row r="4349">
          <cell r="A4349" t="str">
            <v>74569343</v>
          </cell>
          <cell r="B4349">
            <v>9</v>
          </cell>
        </row>
        <row r="4350">
          <cell r="A4350" t="str">
            <v>74577839</v>
          </cell>
          <cell r="B4350">
            <v>5</v>
          </cell>
        </row>
        <row r="4351">
          <cell r="A4351" t="str">
            <v>74581410</v>
          </cell>
          <cell r="B4351">
            <v>11</v>
          </cell>
        </row>
        <row r="4352">
          <cell r="A4352" t="str">
            <v>74585660</v>
          </cell>
          <cell r="B4352">
            <v>2</v>
          </cell>
        </row>
        <row r="4353">
          <cell r="A4353" t="str">
            <v>74591543</v>
          </cell>
          <cell r="B4353">
            <v>1</v>
          </cell>
        </row>
        <row r="4354">
          <cell r="A4354" t="str">
            <v>74591982</v>
          </cell>
          <cell r="B4354">
            <v>1</v>
          </cell>
        </row>
        <row r="4355">
          <cell r="A4355" t="str">
            <v>74599327</v>
          </cell>
          <cell r="B4355">
            <v>7</v>
          </cell>
        </row>
        <row r="4356">
          <cell r="A4356" t="str">
            <v>74607294</v>
          </cell>
          <cell r="B4356">
            <v>10</v>
          </cell>
        </row>
        <row r="4357">
          <cell r="A4357" t="str">
            <v>74651850</v>
          </cell>
          <cell r="B4357">
            <v>5</v>
          </cell>
        </row>
        <row r="4358">
          <cell r="A4358" t="str">
            <v>74651852</v>
          </cell>
          <cell r="B4358">
            <v>28</v>
          </cell>
        </row>
        <row r="4359">
          <cell r="A4359" t="str">
            <v>74686738</v>
          </cell>
          <cell r="B4359">
            <v>5</v>
          </cell>
        </row>
        <row r="4360">
          <cell r="A4360" t="str">
            <v>74699222</v>
          </cell>
          <cell r="B4360">
            <v>32</v>
          </cell>
        </row>
        <row r="4361">
          <cell r="A4361" t="str">
            <v>74705658</v>
          </cell>
          <cell r="B4361">
            <v>8</v>
          </cell>
        </row>
        <row r="4362">
          <cell r="A4362" t="str">
            <v>74706175</v>
          </cell>
          <cell r="B4362">
            <v>5</v>
          </cell>
        </row>
        <row r="4363">
          <cell r="A4363" t="str">
            <v>74736412</v>
          </cell>
          <cell r="B4363">
            <v>9</v>
          </cell>
        </row>
        <row r="4364">
          <cell r="A4364" t="str">
            <v>74744699</v>
          </cell>
          <cell r="B4364">
            <v>12</v>
          </cell>
        </row>
        <row r="4365">
          <cell r="A4365" t="str">
            <v>74761579</v>
          </cell>
          <cell r="B4365">
            <v>11</v>
          </cell>
        </row>
        <row r="4366">
          <cell r="A4366" t="str">
            <v>74773203</v>
          </cell>
          <cell r="B4366">
            <v>100</v>
          </cell>
        </row>
        <row r="4367">
          <cell r="A4367" t="str">
            <v>74778672</v>
          </cell>
          <cell r="B4367">
            <v>1</v>
          </cell>
        </row>
        <row r="4368">
          <cell r="A4368" t="str">
            <v>74780510</v>
          </cell>
          <cell r="B4368">
            <v>4</v>
          </cell>
        </row>
        <row r="4369">
          <cell r="A4369" t="str">
            <v>74805331</v>
          </cell>
          <cell r="B4369">
            <v>4</v>
          </cell>
        </row>
        <row r="4370">
          <cell r="A4370" t="str">
            <v>74820859</v>
          </cell>
          <cell r="B4370">
            <v>1</v>
          </cell>
        </row>
        <row r="4371">
          <cell r="A4371" t="str">
            <v>74826085</v>
          </cell>
          <cell r="B4371">
            <v>4</v>
          </cell>
        </row>
        <row r="4372">
          <cell r="A4372" t="str">
            <v>74839718</v>
          </cell>
          <cell r="B4372">
            <v>6</v>
          </cell>
        </row>
        <row r="4373">
          <cell r="A4373" t="str">
            <v>74843736</v>
          </cell>
          <cell r="B4373">
            <v>7</v>
          </cell>
        </row>
        <row r="4374">
          <cell r="A4374" t="str">
            <v>74848260</v>
          </cell>
          <cell r="B4374">
            <v>2</v>
          </cell>
        </row>
        <row r="4375">
          <cell r="A4375" t="str">
            <v>74849643</v>
          </cell>
          <cell r="B4375">
            <v>5</v>
          </cell>
        </row>
        <row r="4376">
          <cell r="A4376" t="str">
            <v>74852640</v>
          </cell>
          <cell r="B4376">
            <v>4</v>
          </cell>
        </row>
        <row r="4377">
          <cell r="A4377" t="str">
            <v>74852661</v>
          </cell>
          <cell r="B4377">
            <v>5</v>
          </cell>
        </row>
        <row r="4378">
          <cell r="A4378" t="str">
            <v>74854247</v>
          </cell>
          <cell r="B4378">
            <v>3</v>
          </cell>
        </row>
        <row r="4379">
          <cell r="A4379" t="str">
            <v>74870665</v>
          </cell>
          <cell r="B4379">
            <v>131</v>
          </cell>
        </row>
        <row r="4380">
          <cell r="A4380" t="str">
            <v>74873284</v>
          </cell>
          <cell r="B4380">
            <v>9</v>
          </cell>
        </row>
        <row r="4381">
          <cell r="A4381" t="str">
            <v>74890476</v>
          </cell>
          <cell r="B4381">
            <v>8</v>
          </cell>
        </row>
        <row r="4382">
          <cell r="A4382" t="str">
            <v>74893492</v>
          </cell>
          <cell r="B4382">
            <v>9</v>
          </cell>
        </row>
        <row r="4383">
          <cell r="A4383" t="str">
            <v>74895613</v>
          </cell>
          <cell r="B4383">
            <v>1</v>
          </cell>
        </row>
        <row r="4384">
          <cell r="A4384" t="str">
            <v>74902404</v>
          </cell>
          <cell r="B4384">
            <v>8</v>
          </cell>
        </row>
        <row r="4385">
          <cell r="A4385" t="str">
            <v>74903062</v>
          </cell>
          <cell r="B4385">
            <v>3</v>
          </cell>
        </row>
        <row r="4386">
          <cell r="A4386" t="str">
            <v>74903607</v>
          </cell>
          <cell r="B4386">
            <v>4</v>
          </cell>
        </row>
        <row r="4387">
          <cell r="A4387" t="str">
            <v>74911267</v>
          </cell>
          <cell r="B4387">
            <v>25</v>
          </cell>
        </row>
        <row r="4388">
          <cell r="A4388" t="str">
            <v>74920093</v>
          </cell>
          <cell r="B4388">
            <v>6</v>
          </cell>
        </row>
        <row r="4389">
          <cell r="A4389" t="str">
            <v>74931368</v>
          </cell>
          <cell r="B4389">
            <v>5</v>
          </cell>
        </row>
        <row r="4390">
          <cell r="A4390" t="str">
            <v>74942415</v>
          </cell>
          <cell r="B4390">
            <v>6</v>
          </cell>
        </row>
        <row r="4391">
          <cell r="A4391" t="str">
            <v>74942514</v>
          </cell>
          <cell r="B4391">
            <v>7</v>
          </cell>
        </row>
        <row r="4392">
          <cell r="A4392" t="str">
            <v>74949180</v>
          </cell>
          <cell r="B4392">
            <v>5</v>
          </cell>
        </row>
        <row r="4393">
          <cell r="A4393" t="str">
            <v>74951719</v>
          </cell>
          <cell r="B4393">
            <v>1</v>
          </cell>
        </row>
        <row r="4394">
          <cell r="A4394" t="str">
            <v>74952947</v>
          </cell>
          <cell r="B4394">
            <v>13</v>
          </cell>
        </row>
        <row r="4395">
          <cell r="A4395" t="str">
            <v>74956080</v>
          </cell>
          <cell r="B4395">
            <v>123</v>
          </cell>
        </row>
        <row r="4396">
          <cell r="A4396" t="str">
            <v>74986048</v>
          </cell>
          <cell r="B4396">
            <v>2</v>
          </cell>
        </row>
        <row r="4397">
          <cell r="A4397" t="str">
            <v>75002193</v>
          </cell>
          <cell r="B4397">
            <v>10</v>
          </cell>
        </row>
        <row r="4398">
          <cell r="A4398" t="str">
            <v>75012899</v>
          </cell>
          <cell r="B4398">
            <v>10</v>
          </cell>
        </row>
        <row r="4399">
          <cell r="A4399" t="str">
            <v>75019083</v>
          </cell>
          <cell r="B4399">
            <v>16</v>
          </cell>
        </row>
        <row r="4400">
          <cell r="A4400" t="str">
            <v>75022544</v>
          </cell>
          <cell r="B4400">
            <v>2</v>
          </cell>
        </row>
        <row r="4401">
          <cell r="A4401" t="str">
            <v>75052864</v>
          </cell>
          <cell r="B4401">
            <v>22</v>
          </cell>
        </row>
        <row r="4402">
          <cell r="A4402" t="str">
            <v>75058963</v>
          </cell>
          <cell r="B4402">
            <v>4</v>
          </cell>
        </row>
        <row r="4403">
          <cell r="A4403" t="str">
            <v>75063831</v>
          </cell>
          <cell r="B4403">
            <v>3</v>
          </cell>
        </row>
        <row r="4404">
          <cell r="A4404" t="str">
            <v>75065585</v>
          </cell>
          <cell r="B4404">
            <v>4</v>
          </cell>
        </row>
        <row r="4405">
          <cell r="A4405" t="str">
            <v>75092013</v>
          </cell>
          <cell r="B4405">
            <v>1</v>
          </cell>
        </row>
        <row r="4406">
          <cell r="A4406" t="str">
            <v>75092347</v>
          </cell>
          <cell r="B4406">
            <v>10</v>
          </cell>
        </row>
        <row r="4407">
          <cell r="A4407" t="str">
            <v>75097391</v>
          </cell>
          <cell r="B4407">
            <v>10</v>
          </cell>
        </row>
        <row r="4408">
          <cell r="A4408" t="str">
            <v>75100241</v>
          </cell>
          <cell r="B4408">
            <v>1</v>
          </cell>
        </row>
        <row r="4409">
          <cell r="A4409" t="str">
            <v>75121747</v>
          </cell>
          <cell r="B4409">
            <v>1</v>
          </cell>
        </row>
        <row r="4410">
          <cell r="A4410" t="str">
            <v>75126338</v>
          </cell>
          <cell r="B4410">
            <v>1</v>
          </cell>
        </row>
        <row r="4411">
          <cell r="A4411" t="str">
            <v>75126834</v>
          </cell>
          <cell r="B4411">
            <v>8</v>
          </cell>
        </row>
        <row r="4412">
          <cell r="A4412" t="str">
            <v>75130181</v>
          </cell>
          <cell r="B4412">
            <v>1</v>
          </cell>
        </row>
        <row r="4413">
          <cell r="A4413" t="str">
            <v>75148615</v>
          </cell>
          <cell r="B4413">
            <v>2</v>
          </cell>
        </row>
        <row r="4414">
          <cell r="A4414" t="str">
            <v>75153420</v>
          </cell>
          <cell r="B4414">
            <v>2</v>
          </cell>
        </row>
        <row r="4415">
          <cell r="A4415" t="str">
            <v>75154093</v>
          </cell>
          <cell r="B4415">
            <v>12</v>
          </cell>
        </row>
        <row r="4416">
          <cell r="A4416" t="str">
            <v>75161659</v>
          </cell>
          <cell r="B4416">
            <v>2</v>
          </cell>
        </row>
        <row r="4417">
          <cell r="A4417" t="str">
            <v>75161869</v>
          </cell>
          <cell r="B4417">
            <v>10</v>
          </cell>
        </row>
        <row r="4418">
          <cell r="A4418" t="str">
            <v>75164301</v>
          </cell>
          <cell r="B4418">
            <v>7</v>
          </cell>
        </row>
        <row r="4419">
          <cell r="A4419" t="str">
            <v>75169469</v>
          </cell>
          <cell r="B4419">
            <v>8</v>
          </cell>
        </row>
        <row r="4420">
          <cell r="A4420" t="str">
            <v>75169472</v>
          </cell>
          <cell r="B4420">
            <v>7</v>
          </cell>
        </row>
        <row r="4421">
          <cell r="A4421" t="str">
            <v>75176405</v>
          </cell>
          <cell r="B4421">
            <v>1</v>
          </cell>
        </row>
        <row r="4422">
          <cell r="A4422" t="str">
            <v>75178261</v>
          </cell>
          <cell r="B4422">
            <v>87</v>
          </cell>
        </row>
        <row r="4423">
          <cell r="A4423" t="str">
            <v>75181865</v>
          </cell>
          <cell r="B4423">
            <v>1</v>
          </cell>
        </row>
        <row r="4424">
          <cell r="A4424" t="str">
            <v>75183221</v>
          </cell>
          <cell r="B4424">
            <v>2</v>
          </cell>
        </row>
        <row r="4425">
          <cell r="A4425" t="str">
            <v>75188864</v>
          </cell>
          <cell r="B4425">
            <v>4</v>
          </cell>
        </row>
        <row r="4426">
          <cell r="A4426" t="str">
            <v>75190315</v>
          </cell>
          <cell r="B4426">
            <v>4</v>
          </cell>
        </row>
        <row r="4427">
          <cell r="A4427" t="str">
            <v>75199903</v>
          </cell>
          <cell r="B4427">
            <v>21</v>
          </cell>
        </row>
        <row r="4428">
          <cell r="A4428" t="str">
            <v>75201095</v>
          </cell>
          <cell r="B4428">
            <v>5</v>
          </cell>
        </row>
        <row r="4429">
          <cell r="A4429" t="str">
            <v>75208187</v>
          </cell>
          <cell r="B4429">
            <v>9</v>
          </cell>
        </row>
        <row r="4430">
          <cell r="A4430" t="str">
            <v>75212256</v>
          </cell>
          <cell r="B4430">
            <v>8</v>
          </cell>
        </row>
        <row r="4431">
          <cell r="A4431" t="str">
            <v>75214218</v>
          </cell>
          <cell r="B4431">
            <v>11</v>
          </cell>
        </row>
        <row r="4432">
          <cell r="A4432" t="str">
            <v>75214778</v>
          </cell>
          <cell r="B4432">
            <v>2</v>
          </cell>
        </row>
        <row r="4433">
          <cell r="A4433" t="str">
            <v>75220003</v>
          </cell>
          <cell r="B4433">
            <v>1</v>
          </cell>
        </row>
        <row r="4434">
          <cell r="A4434" t="str">
            <v>75222552</v>
          </cell>
          <cell r="B4434">
            <v>10</v>
          </cell>
        </row>
        <row r="4435">
          <cell r="A4435" t="str">
            <v>75227225</v>
          </cell>
          <cell r="B4435">
            <v>7</v>
          </cell>
        </row>
        <row r="4436">
          <cell r="A4436" t="str">
            <v>75231506</v>
          </cell>
          <cell r="B4436">
            <v>11</v>
          </cell>
        </row>
        <row r="4437">
          <cell r="A4437" t="str">
            <v>75232552</v>
          </cell>
          <cell r="B4437">
            <v>5</v>
          </cell>
        </row>
        <row r="4438">
          <cell r="A4438" t="str">
            <v>75234200</v>
          </cell>
          <cell r="B4438">
            <v>33</v>
          </cell>
        </row>
        <row r="4439">
          <cell r="A4439" t="str">
            <v>75240220</v>
          </cell>
          <cell r="B4439">
            <v>4</v>
          </cell>
        </row>
        <row r="4440">
          <cell r="A4440" t="str">
            <v>75242124</v>
          </cell>
          <cell r="B4440">
            <v>9</v>
          </cell>
        </row>
        <row r="4441">
          <cell r="A4441" t="str">
            <v>75248898</v>
          </cell>
          <cell r="B4441">
            <v>7</v>
          </cell>
        </row>
        <row r="4442">
          <cell r="A4442" t="str">
            <v>75272420</v>
          </cell>
          <cell r="B4442">
            <v>6</v>
          </cell>
        </row>
        <row r="4443">
          <cell r="A4443" t="str">
            <v>75280365</v>
          </cell>
          <cell r="B4443">
            <v>14</v>
          </cell>
        </row>
        <row r="4444">
          <cell r="A4444" t="str">
            <v>75283102</v>
          </cell>
          <cell r="B4444">
            <v>6</v>
          </cell>
        </row>
        <row r="4445">
          <cell r="A4445" t="str">
            <v>75283173</v>
          </cell>
          <cell r="B4445">
            <v>6</v>
          </cell>
        </row>
        <row r="4446">
          <cell r="A4446" t="str">
            <v>75284191</v>
          </cell>
          <cell r="B4446">
            <v>8</v>
          </cell>
        </row>
        <row r="4447">
          <cell r="A4447" t="str">
            <v>75286342</v>
          </cell>
          <cell r="B4447">
            <v>3</v>
          </cell>
        </row>
        <row r="4448">
          <cell r="A4448" t="str">
            <v>75308489</v>
          </cell>
          <cell r="B4448">
            <v>2</v>
          </cell>
        </row>
        <row r="4449">
          <cell r="A4449" t="str">
            <v>75317205</v>
          </cell>
          <cell r="B4449">
            <v>6</v>
          </cell>
        </row>
        <row r="4450">
          <cell r="A4450" t="str">
            <v>75319587</v>
          </cell>
          <cell r="B4450">
            <v>2</v>
          </cell>
        </row>
        <row r="4451">
          <cell r="A4451" t="str">
            <v>75325555</v>
          </cell>
          <cell r="B4451">
            <v>5</v>
          </cell>
        </row>
        <row r="4452">
          <cell r="A4452" t="str">
            <v>75330180</v>
          </cell>
          <cell r="B4452">
            <v>4</v>
          </cell>
        </row>
        <row r="4453">
          <cell r="A4453" t="str">
            <v>75331544</v>
          </cell>
          <cell r="B4453">
            <v>17</v>
          </cell>
        </row>
        <row r="4454">
          <cell r="A4454" t="str">
            <v>75336281</v>
          </cell>
          <cell r="B4454">
            <v>7</v>
          </cell>
        </row>
        <row r="4455">
          <cell r="A4455" t="str">
            <v>75349680</v>
          </cell>
          <cell r="B4455">
            <v>16</v>
          </cell>
        </row>
        <row r="4456">
          <cell r="A4456" t="str">
            <v>75368857</v>
          </cell>
          <cell r="B4456">
            <v>8</v>
          </cell>
        </row>
        <row r="4457">
          <cell r="A4457" t="str">
            <v>75379940</v>
          </cell>
          <cell r="B4457">
            <v>4</v>
          </cell>
        </row>
        <row r="4458">
          <cell r="A4458" t="str">
            <v>75385534</v>
          </cell>
          <cell r="B4458">
            <v>5</v>
          </cell>
        </row>
        <row r="4459">
          <cell r="A4459" t="str">
            <v>75387669</v>
          </cell>
          <cell r="B4459">
            <v>7</v>
          </cell>
        </row>
        <row r="4460">
          <cell r="A4460" t="str">
            <v>75388485</v>
          </cell>
          <cell r="B4460">
            <v>49</v>
          </cell>
        </row>
        <row r="4461">
          <cell r="A4461" t="str">
            <v>75392233</v>
          </cell>
          <cell r="B4461">
            <v>6</v>
          </cell>
        </row>
        <row r="4462">
          <cell r="A4462" t="str">
            <v>75396190</v>
          </cell>
          <cell r="B4462">
            <v>4</v>
          </cell>
        </row>
        <row r="4463">
          <cell r="A4463" t="str">
            <v>75420226</v>
          </cell>
          <cell r="B4463">
            <v>18</v>
          </cell>
        </row>
        <row r="4464">
          <cell r="A4464" t="str">
            <v>75432862</v>
          </cell>
          <cell r="B4464">
            <v>17</v>
          </cell>
        </row>
        <row r="4465">
          <cell r="A4465" t="str">
            <v>75441251</v>
          </cell>
          <cell r="B4465">
            <v>76</v>
          </cell>
        </row>
        <row r="4466">
          <cell r="A4466" t="str">
            <v>75469331</v>
          </cell>
          <cell r="B4466">
            <v>19</v>
          </cell>
        </row>
        <row r="4467">
          <cell r="A4467" t="str">
            <v>75470741</v>
          </cell>
          <cell r="B4467">
            <v>1</v>
          </cell>
        </row>
        <row r="4468">
          <cell r="A4468" t="str">
            <v>75477308</v>
          </cell>
          <cell r="B4468">
            <v>4</v>
          </cell>
        </row>
        <row r="4469">
          <cell r="A4469" t="str">
            <v>75482471</v>
          </cell>
          <cell r="B4469">
            <v>14</v>
          </cell>
        </row>
        <row r="4470">
          <cell r="A4470" t="str">
            <v>75487264</v>
          </cell>
          <cell r="B4470">
            <v>10</v>
          </cell>
        </row>
        <row r="4471">
          <cell r="A4471" t="str">
            <v>75489715</v>
          </cell>
          <cell r="B4471">
            <v>1</v>
          </cell>
        </row>
        <row r="4472">
          <cell r="A4472" t="str">
            <v>75491235</v>
          </cell>
          <cell r="B4472">
            <v>2</v>
          </cell>
        </row>
        <row r="4473">
          <cell r="A4473" t="str">
            <v>75494692</v>
          </cell>
          <cell r="B4473">
            <v>3</v>
          </cell>
        </row>
        <row r="4474">
          <cell r="A4474" t="str">
            <v>75500443</v>
          </cell>
          <cell r="B4474">
            <v>15</v>
          </cell>
        </row>
        <row r="4475">
          <cell r="A4475" t="str">
            <v>75503222</v>
          </cell>
          <cell r="B4475">
            <v>2</v>
          </cell>
        </row>
        <row r="4476">
          <cell r="A4476" t="str">
            <v>75503793</v>
          </cell>
          <cell r="B4476">
            <v>7</v>
          </cell>
        </row>
        <row r="4477">
          <cell r="A4477" t="str">
            <v>75505079</v>
          </cell>
          <cell r="B4477">
            <v>34</v>
          </cell>
        </row>
        <row r="4478">
          <cell r="A4478" t="str">
            <v>75528616</v>
          </cell>
          <cell r="B4478">
            <v>3</v>
          </cell>
        </row>
        <row r="4479">
          <cell r="A4479" t="str">
            <v>75545852</v>
          </cell>
          <cell r="B4479">
            <v>7</v>
          </cell>
        </row>
        <row r="4480">
          <cell r="A4480" t="str">
            <v>75547798</v>
          </cell>
          <cell r="B4480">
            <v>13</v>
          </cell>
        </row>
        <row r="4481">
          <cell r="A4481" t="str">
            <v>75551146</v>
          </cell>
          <cell r="B4481">
            <v>3</v>
          </cell>
        </row>
        <row r="4482">
          <cell r="A4482" t="str">
            <v>75559038</v>
          </cell>
          <cell r="B4482">
            <v>10</v>
          </cell>
        </row>
        <row r="4483">
          <cell r="A4483" t="str">
            <v>75560960</v>
          </cell>
          <cell r="B4483">
            <v>1</v>
          </cell>
        </row>
        <row r="4484">
          <cell r="A4484" t="str">
            <v>75562700</v>
          </cell>
          <cell r="B4484">
            <v>1</v>
          </cell>
        </row>
        <row r="4485">
          <cell r="A4485" t="str">
            <v>75569655</v>
          </cell>
          <cell r="B4485">
            <v>3</v>
          </cell>
        </row>
        <row r="4486">
          <cell r="A4486" t="str">
            <v>75576892</v>
          </cell>
          <cell r="B4486">
            <v>4</v>
          </cell>
        </row>
        <row r="4487">
          <cell r="A4487" t="str">
            <v>75608283</v>
          </cell>
          <cell r="B4487">
            <v>8</v>
          </cell>
        </row>
        <row r="4488">
          <cell r="A4488" t="str">
            <v>75628342</v>
          </cell>
          <cell r="B4488">
            <v>1</v>
          </cell>
        </row>
        <row r="4489">
          <cell r="A4489" t="str">
            <v>75629350</v>
          </cell>
          <cell r="B4489">
            <v>10</v>
          </cell>
        </row>
        <row r="4490">
          <cell r="A4490" t="str">
            <v>75652531</v>
          </cell>
          <cell r="B4490">
            <v>9</v>
          </cell>
        </row>
        <row r="4491">
          <cell r="A4491" t="str">
            <v>75660627</v>
          </cell>
          <cell r="B4491">
            <v>2</v>
          </cell>
        </row>
        <row r="4492">
          <cell r="A4492" t="str">
            <v>75662566</v>
          </cell>
          <cell r="B4492">
            <v>1</v>
          </cell>
        </row>
        <row r="4493">
          <cell r="A4493" t="str">
            <v>75681454</v>
          </cell>
          <cell r="B4493">
            <v>7</v>
          </cell>
        </row>
        <row r="4494">
          <cell r="A4494" t="str">
            <v>75689000</v>
          </cell>
          <cell r="B4494">
            <v>2</v>
          </cell>
        </row>
        <row r="4495">
          <cell r="A4495" t="str">
            <v>75689276</v>
          </cell>
          <cell r="B4495">
            <v>6</v>
          </cell>
        </row>
        <row r="4496">
          <cell r="A4496" t="str">
            <v>75696797</v>
          </cell>
          <cell r="B4496">
            <v>2</v>
          </cell>
        </row>
        <row r="4497">
          <cell r="A4497" t="str">
            <v>75699793</v>
          </cell>
          <cell r="B4497">
            <v>3</v>
          </cell>
        </row>
        <row r="4498">
          <cell r="A4498" t="str">
            <v>75703064</v>
          </cell>
          <cell r="B4498">
            <v>1</v>
          </cell>
        </row>
        <row r="4499">
          <cell r="A4499" t="str">
            <v>75708934</v>
          </cell>
          <cell r="B4499">
            <v>7</v>
          </cell>
        </row>
        <row r="4500">
          <cell r="A4500" t="str">
            <v>75715104</v>
          </cell>
          <cell r="B4500">
            <v>4</v>
          </cell>
        </row>
        <row r="4501">
          <cell r="A4501" t="str">
            <v>75716133</v>
          </cell>
          <cell r="B4501">
            <v>6</v>
          </cell>
        </row>
        <row r="4502">
          <cell r="A4502" t="str">
            <v>75718092</v>
          </cell>
          <cell r="B4502">
            <v>86</v>
          </cell>
        </row>
        <row r="4503">
          <cell r="A4503" t="str">
            <v>75719023</v>
          </cell>
          <cell r="B4503">
            <v>6</v>
          </cell>
        </row>
        <row r="4504">
          <cell r="A4504" t="str">
            <v>75723773</v>
          </cell>
          <cell r="B4504">
            <v>4</v>
          </cell>
        </row>
        <row r="4505">
          <cell r="A4505" t="str">
            <v>75724217</v>
          </cell>
          <cell r="B4505">
            <v>3</v>
          </cell>
        </row>
        <row r="4506">
          <cell r="A4506" t="str">
            <v>75731542</v>
          </cell>
          <cell r="B4506">
            <v>71</v>
          </cell>
        </row>
        <row r="4507">
          <cell r="A4507" t="str">
            <v>75735157</v>
          </cell>
          <cell r="B4507">
            <v>6</v>
          </cell>
        </row>
        <row r="4508">
          <cell r="A4508" t="str">
            <v>75738286</v>
          </cell>
          <cell r="B4508">
            <v>7</v>
          </cell>
        </row>
        <row r="4509">
          <cell r="A4509" t="str">
            <v>75754233</v>
          </cell>
          <cell r="B4509">
            <v>1</v>
          </cell>
        </row>
        <row r="4510">
          <cell r="A4510" t="str">
            <v>75761802</v>
          </cell>
          <cell r="B4510">
            <v>7</v>
          </cell>
        </row>
        <row r="4511">
          <cell r="A4511" t="str">
            <v>75767303</v>
          </cell>
          <cell r="B4511">
            <v>34</v>
          </cell>
        </row>
        <row r="4512">
          <cell r="A4512" t="str">
            <v>75771106</v>
          </cell>
          <cell r="B4512">
            <v>3</v>
          </cell>
        </row>
        <row r="4513">
          <cell r="A4513" t="str">
            <v>75779565</v>
          </cell>
          <cell r="B4513">
            <v>1</v>
          </cell>
        </row>
        <row r="4514">
          <cell r="A4514" t="str">
            <v>75784087</v>
          </cell>
          <cell r="B4514">
            <v>1</v>
          </cell>
        </row>
        <row r="4515">
          <cell r="A4515" t="str">
            <v>75788080</v>
          </cell>
          <cell r="B4515">
            <v>2</v>
          </cell>
        </row>
        <row r="4516">
          <cell r="A4516" t="str">
            <v>75796665</v>
          </cell>
          <cell r="B4516">
            <v>8</v>
          </cell>
        </row>
        <row r="4517">
          <cell r="A4517" t="str">
            <v>75800614</v>
          </cell>
          <cell r="B4517">
            <v>7</v>
          </cell>
        </row>
        <row r="4518">
          <cell r="A4518" t="str">
            <v>75805338</v>
          </cell>
          <cell r="B4518">
            <v>2</v>
          </cell>
        </row>
        <row r="4519">
          <cell r="A4519" t="str">
            <v>75808839</v>
          </cell>
          <cell r="B4519">
            <v>6</v>
          </cell>
        </row>
        <row r="4520">
          <cell r="A4520" t="str">
            <v>75818752</v>
          </cell>
          <cell r="B4520">
            <v>6</v>
          </cell>
        </row>
        <row r="4521">
          <cell r="A4521" t="str">
            <v>75824862</v>
          </cell>
          <cell r="B4521">
            <v>4</v>
          </cell>
        </row>
        <row r="4522">
          <cell r="A4522" t="str">
            <v>75848663</v>
          </cell>
          <cell r="B4522">
            <v>3</v>
          </cell>
        </row>
        <row r="4523">
          <cell r="A4523" t="str">
            <v>75850839</v>
          </cell>
          <cell r="B4523">
            <v>34</v>
          </cell>
        </row>
        <row r="4524">
          <cell r="A4524" t="str">
            <v>75852416</v>
          </cell>
          <cell r="B4524">
            <v>8</v>
          </cell>
        </row>
        <row r="4525">
          <cell r="A4525" t="str">
            <v>75863683</v>
          </cell>
          <cell r="B4525">
            <v>4</v>
          </cell>
        </row>
        <row r="4526">
          <cell r="A4526" t="str">
            <v>75868928</v>
          </cell>
          <cell r="B4526">
            <v>8</v>
          </cell>
        </row>
        <row r="4527">
          <cell r="A4527" t="str">
            <v>75878323</v>
          </cell>
          <cell r="B4527">
            <v>11</v>
          </cell>
        </row>
        <row r="4528">
          <cell r="A4528" t="str">
            <v>75879517</v>
          </cell>
          <cell r="B4528">
            <v>19</v>
          </cell>
        </row>
        <row r="4529">
          <cell r="A4529" t="str">
            <v>75884863</v>
          </cell>
          <cell r="B4529">
            <v>3</v>
          </cell>
        </row>
        <row r="4530">
          <cell r="A4530" t="str">
            <v>75890495</v>
          </cell>
          <cell r="B4530">
            <v>2</v>
          </cell>
        </row>
        <row r="4531">
          <cell r="A4531" t="str">
            <v>75897255</v>
          </cell>
          <cell r="B4531">
            <v>9</v>
          </cell>
        </row>
        <row r="4532">
          <cell r="A4532" t="str">
            <v>75898419</v>
          </cell>
          <cell r="B4532">
            <v>5</v>
          </cell>
        </row>
        <row r="4533">
          <cell r="A4533" t="str">
            <v>75936022</v>
          </cell>
          <cell r="B4533">
            <v>7</v>
          </cell>
        </row>
        <row r="4534">
          <cell r="A4534" t="str">
            <v>75951425</v>
          </cell>
          <cell r="B4534">
            <v>3</v>
          </cell>
        </row>
        <row r="4535">
          <cell r="A4535" t="str">
            <v>75953231</v>
          </cell>
          <cell r="B4535">
            <v>10</v>
          </cell>
        </row>
        <row r="4536">
          <cell r="A4536" t="str">
            <v>75968146</v>
          </cell>
          <cell r="B4536">
            <v>5</v>
          </cell>
        </row>
        <row r="4537">
          <cell r="A4537" t="str">
            <v>75972826</v>
          </cell>
          <cell r="B4537">
            <v>2</v>
          </cell>
        </row>
        <row r="4538">
          <cell r="A4538" t="str">
            <v>75982131</v>
          </cell>
          <cell r="B4538">
            <v>5</v>
          </cell>
        </row>
        <row r="4539">
          <cell r="A4539" t="str">
            <v>75986092</v>
          </cell>
          <cell r="B4539">
            <v>3</v>
          </cell>
        </row>
        <row r="4540">
          <cell r="A4540" t="str">
            <v>75992566</v>
          </cell>
          <cell r="B4540">
            <v>4</v>
          </cell>
        </row>
        <row r="4541">
          <cell r="A4541" t="str">
            <v>76009887</v>
          </cell>
          <cell r="B4541">
            <v>8</v>
          </cell>
        </row>
        <row r="4542">
          <cell r="A4542" t="str">
            <v>76012135</v>
          </cell>
          <cell r="B4542">
            <v>19</v>
          </cell>
        </row>
        <row r="4543">
          <cell r="A4543" t="str">
            <v>76015514</v>
          </cell>
          <cell r="B4543">
            <v>33</v>
          </cell>
        </row>
        <row r="4544">
          <cell r="A4544" t="str">
            <v>76017804</v>
          </cell>
          <cell r="B4544">
            <v>5</v>
          </cell>
        </row>
        <row r="4545">
          <cell r="A4545" t="str">
            <v>76023470</v>
          </cell>
          <cell r="B4545">
            <v>2</v>
          </cell>
        </row>
        <row r="4546">
          <cell r="A4546" t="str">
            <v>76024441</v>
          </cell>
          <cell r="B4546">
            <v>6</v>
          </cell>
        </row>
        <row r="4547">
          <cell r="A4547" t="str">
            <v>76028903</v>
          </cell>
          <cell r="B4547">
            <v>6</v>
          </cell>
        </row>
        <row r="4548">
          <cell r="A4548" t="str">
            <v>76029721</v>
          </cell>
          <cell r="B4548">
            <v>4</v>
          </cell>
        </row>
        <row r="4549">
          <cell r="A4549" t="str">
            <v>76034941</v>
          </cell>
          <cell r="B4549">
            <v>37</v>
          </cell>
        </row>
        <row r="4550">
          <cell r="A4550" t="str">
            <v>76049204</v>
          </cell>
          <cell r="B4550">
            <v>5</v>
          </cell>
        </row>
        <row r="4551">
          <cell r="A4551" t="str">
            <v>76050405</v>
          </cell>
          <cell r="B4551">
            <v>4</v>
          </cell>
        </row>
        <row r="4552">
          <cell r="A4552" t="str">
            <v>76051340</v>
          </cell>
          <cell r="B4552">
            <v>10</v>
          </cell>
        </row>
        <row r="4553">
          <cell r="A4553" t="str">
            <v>76056606</v>
          </cell>
          <cell r="B4553">
            <v>13</v>
          </cell>
        </row>
        <row r="4554">
          <cell r="A4554" t="str">
            <v>76057317</v>
          </cell>
          <cell r="B4554">
            <v>5</v>
          </cell>
        </row>
        <row r="4555">
          <cell r="A4555" t="str">
            <v>76062267</v>
          </cell>
          <cell r="B4555">
            <v>2</v>
          </cell>
        </row>
        <row r="4556">
          <cell r="A4556" t="str">
            <v>76063033</v>
          </cell>
          <cell r="B4556">
            <v>22</v>
          </cell>
        </row>
        <row r="4557">
          <cell r="A4557" t="str">
            <v>76067926</v>
          </cell>
          <cell r="B4557">
            <v>8</v>
          </cell>
        </row>
        <row r="4558">
          <cell r="A4558" t="str">
            <v>76069278</v>
          </cell>
          <cell r="B4558">
            <v>3</v>
          </cell>
        </row>
        <row r="4559">
          <cell r="A4559" t="str">
            <v>76069489</v>
          </cell>
          <cell r="B4559">
            <v>45</v>
          </cell>
        </row>
        <row r="4560">
          <cell r="A4560" t="str">
            <v>76075155</v>
          </cell>
          <cell r="B4560">
            <v>49</v>
          </cell>
        </row>
        <row r="4561">
          <cell r="A4561" t="str">
            <v>76080616</v>
          </cell>
          <cell r="B4561">
            <v>1</v>
          </cell>
        </row>
        <row r="4562">
          <cell r="A4562" t="str">
            <v>76080963</v>
          </cell>
          <cell r="B4562">
            <v>2</v>
          </cell>
        </row>
        <row r="4563">
          <cell r="A4563" t="str">
            <v>76081880</v>
          </cell>
          <cell r="B4563">
            <v>6</v>
          </cell>
        </row>
        <row r="4564">
          <cell r="A4564" t="str">
            <v>76083913</v>
          </cell>
          <cell r="B4564">
            <v>6</v>
          </cell>
        </row>
        <row r="4565">
          <cell r="A4565" t="str">
            <v>76087119</v>
          </cell>
          <cell r="B4565">
            <v>1</v>
          </cell>
        </row>
        <row r="4566">
          <cell r="A4566" t="str">
            <v>76091969</v>
          </cell>
          <cell r="B4566">
            <v>4</v>
          </cell>
        </row>
        <row r="4567">
          <cell r="A4567" t="str">
            <v>76098471</v>
          </cell>
          <cell r="B4567">
            <v>2</v>
          </cell>
        </row>
        <row r="4568">
          <cell r="A4568" t="str">
            <v>76103345</v>
          </cell>
          <cell r="B4568">
            <v>1</v>
          </cell>
        </row>
        <row r="4569">
          <cell r="A4569" t="str">
            <v>76123245</v>
          </cell>
          <cell r="B4569">
            <v>1</v>
          </cell>
        </row>
        <row r="4570">
          <cell r="A4570" t="str">
            <v>76125223</v>
          </cell>
          <cell r="B4570">
            <v>9</v>
          </cell>
        </row>
        <row r="4571">
          <cell r="A4571" t="str">
            <v>76127512</v>
          </cell>
          <cell r="B4571">
            <v>2</v>
          </cell>
        </row>
        <row r="4572">
          <cell r="A4572" t="str">
            <v>76136169</v>
          </cell>
          <cell r="B4572">
            <v>2</v>
          </cell>
        </row>
        <row r="4573">
          <cell r="A4573" t="str">
            <v>76144590</v>
          </cell>
          <cell r="B4573">
            <v>3</v>
          </cell>
        </row>
        <row r="4574">
          <cell r="A4574" t="str">
            <v>76147401</v>
          </cell>
          <cell r="B4574">
            <v>18</v>
          </cell>
        </row>
        <row r="4575">
          <cell r="A4575" t="str">
            <v>76150222</v>
          </cell>
          <cell r="B4575">
            <v>5</v>
          </cell>
        </row>
        <row r="4576">
          <cell r="A4576" t="str">
            <v>76153782</v>
          </cell>
          <cell r="B4576">
            <v>3</v>
          </cell>
        </row>
        <row r="4577">
          <cell r="A4577" t="str">
            <v>76155921</v>
          </cell>
          <cell r="B4577">
            <v>7</v>
          </cell>
        </row>
        <row r="4578">
          <cell r="A4578" t="str">
            <v>76165287</v>
          </cell>
          <cell r="B4578">
            <v>3</v>
          </cell>
        </row>
        <row r="4579">
          <cell r="A4579" t="str">
            <v>76168950</v>
          </cell>
          <cell r="B4579">
            <v>15</v>
          </cell>
        </row>
        <row r="4580">
          <cell r="A4580" t="str">
            <v>76169352</v>
          </cell>
          <cell r="B4580">
            <v>5</v>
          </cell>
        </row>
        <row r="4581">
          <cell r="A4581" t="str">
            <v>76175495</v>
          </cell>
          <cell r="B4581">
            <v>18</v>
          </cell>
        </row>
        <row r="4582">
          <cell r="A4582" t="str">
            <v>76176340</v>
          </cell>
          <cell r="B4582">
            <v>32</v>
          </cell>
        </row>
        <row r="4583">
          <cell r="A4583" t="str">
            <v>76184292</v>
          </cell>
          <cell r="B4583">
            <v>9</v>
          </cell>
        </row>
        <row r="4584">
          <cell r="A4584" t="str">
            <v>76192763</v>
          </cell>
          <cell r="B4584">
            <v>1</v>
          </cell>
        </row>
        <row r="4585">
          <cell r="A4585" t="str">
            <v>76194495</v>
          </cell>
          <cell r="B4585">
            <v>5</v>
          </cell>
        </row>
        <row r="4586">
          <cell r="A4586" t="str">
            <v>76203947</v>
          </cell>
          <cell r="B4586">
            <v>6</v>
          </cell>
        </row>
        <row r="4587">
          <cell r="A4587" t="str">
            <v>76209641</v>
          </cell>
          <cell r="B4587">
            <v>5</v>
          </cell>
        </row>
        <row r="4588">
          <cell r="A4588" t="str">
            <v>76211566</v>
          </cell>
          <cell r="B4588">
            <v>9</v>
          </cell>
        </row>
        <row r="4589">
          <cell r="A4589" t="str">
            <v>76212010</v>
          </cell>
          <cell r="B4589">
            <v>1</v>
          </cell>
        </row>
        <row r="4590">
          <cell r="A4590" t="str">
            <v>76212392</v>
          </cell>
          <cell r="B4590">
            <v>3</v>
          </cell>
        </row>
        <row r="4591">
          <cell r="A4591" t="str">
            <v>76214487</v>
          </cell>
          <cell r="B4591">
            <v>3</v>
          </cell>
        </row>
        <row r="4592">
          <cell r="A4592" t="str">
            <v>76215641</v>
          </cell>
          <cell r="B4592">
            <v>10</v>
          </cell>
        </row>
        <row r="4593">
          <cell r="A4593" t="str">
            <v>76217247</v>
          </cell>
          <cell r="B4593">
            <v>3</v>
          </cell>
        </row>
        <row r="4594">
          <cell r="A4594" t="str">
            <v>76235942</v>
          </cell>
          <cell r="B4594">
            <v>43</v>
          </cell>
        </row>
        <row r="4595">
          <cell r="A4595" t="str">
            <v>76236691</v>
          </cell>
          <cell r="B4595">
            <v>13</v>
          </cell>
        </row>
        <row r="4596">
          <cell r="A4596" t="str">
            <v>76237895</v>
          </cell>
          <cell r="B4596">
            <v>10</v>
          </cell>
        </row>
        <row r="4597">
          <cell r="A4597" t="str">
            <v>76246100</v>
          </cell>
          <cell r="B4597">
            <v>2</v>
          </cell>
        </row>
        <row r="4598">
          <cell r="A4598" t="str">
            <v>76247215</v>
          </cell>
          <cell r="B4598">
            <v>9</v>
          </cell>
        </row>
        <row r="4599">
          <cell r="A4599" t="str">
            <v>76247374</v>
          </cell>
          <cell r="B4599">
            <v>3</v>
          </cell>
        </row>
        <row r="4600">
          <cell r="A4600" t="str">
            <v>76249875</v>
          </cell>
          <cell r="B4600">
            <v>143</v>
          </cell>
        </row>
        <row r="4601">
          <cell r="A4601" t="str">
            <v>76251754</v>
          </cell>
          <cell r="B4601">
            <v>11</v>
          </cell>
        </row>
        <row r="4602">
          <cell r="A4602" t="str">
            <v>76252337</v>
          </cell>
          <cell r="B4602">
            <v>5</v>
          </cell>
        </row>
        <row r="4603">
          <cell r="A4603" t="str">
            <v>76260690</v>
          </cell>
          <cell r="B4603">
            <v>3</v>
          </cell>
        </row>
        <row r="4604">
          <cell r="A4604" t="str">
            <v>76270406</v>
          </cell>
          <cell r="B4604">
            <v>77</v>
          </cell>
        </row>
        <row r="4605">
          <cell r="A4605" t="str">
            <v>76275170</v>
          </cell>
          <cell r="B4605">
            <v>14</v>
          </cell>
        </row>
        <row r="4606">
          <cell r="A4606" t="str">
            <v>76277288</v>
          </cell>
          <cell r="B4606">
            <v>1</v>
          </cell>
        </row>
        <row r="4607">
          <cell r="A4607" t="str">
            <v>76280208</v>
          </cell>
          <cell r="B4607">
            <v>52</v>
          </cell>
        </row>
        <row r="4608">
          <cell r="A4608" t="str">
            <v>76284106</v>
          </cell>
          <cell r="B4608">
            <v>8</v>
          </cell>
        </row>
        <row r="4609">
          <cell r="A4609" t="str">
            <v>76291223</v>
          </cell>
          <cell r="B4609">
            <v>60</v>
          </cell>
        </row>
        <row r="4610">
          <cell r="A4610" t="str">
            <v>76291262</v>
          </cell>
          <cell r="B4610">
            <v>3</v>
          </cell>
        </row>
        <row r="4611">
          <cell r="A4611" t="str">
            <v>76293580</v>
          </cell>
          <cell r="B4611">
            <v>1</v>
          </cell>
        </row>
        <row r="4612">
          <cell r="A4612" t="str">
            <v>76297321</v>
          </cell>
          <cell r="B4612">
            <v>9</v>
          </cell>
        </row>
        <row r="4613">
          <cell r="A4613" t="str">
            <v>76306496</v>
          </cell>
          <cell r="B4613">
            <v>1</v>
          </cell>
        </row>
        <row r="4614">
          <cell r="A4614" t="str">
            <v>76308405</v>
          </cell>
          <cell r="B4614">
            <v>12</v>
          </cell>
        </row>
        <row r="4615">
          <cell r="A4615" t="str">
            <v>76313014</v>
          </cell>
          <cell r="B4615">
            <v>2</v>
          </cell>
        </row>
        <row r="4616">
          <cell r="A4616" t="str">
            <v>76317786</v>
          </cell>
          <cell r="B4616">
            <v>16</v>
          </cell>
        </row>
        <row r="4617">
          <cell r="A4617" t="str">
            <v>76318521</v>
          </cell>
          <cell r="B4617">
            <v>90</v>
          </cell>
        </row>
        <row r="4618">
          <cell r="A4618" t="str">
            <v>76327880</v>
          </cell>
          <cell r="B4618">
            <v>18</v>
          </cell>
        </row>
        <row r="4619">
          <cell r="A4619" t="str">
            <v>76329195</v>
          </cell>
          <cell r="B4619">
            <v>5</v>
          </cell>
        </row>
        <row r="4620">
          <cell r="A4620" t="str">
            <v>76335484</v>
          </cell>
          <cell r="B4620">
            <v>2</v>
          </cell>
        </row>
        <row r="4621">
          <cell r="A4621" t="str">
            <v>76355051</v>
          </cell>
          <cell r="B4621">
            <v>34</v>
          </cell>
        </row>
        <row r="4622">
          <cell r="A4622" t="str">
            <v>76356340</v>
          </cell>
          <cell r="B4622">
            <v>3</v>
          </cell>
        </row>
        <row r="4623">
          <cell r="A4623" t="str">
            <v>76356662</v>
          </cell>
          <cell r="B4623">
            <v>8</v>
          </cell>
        </row>
        <row r="4624">
          <cell r="A4624" t="str">
            <v>76369441</v>
          </cell>
          <cell r="B4624">
            <v>1</v>
          </cell>
        </row>
        <row r="4625">
          <cell r="A4625" t="str">
            <v>76374000</v>
          </cell>
          <cell r="B4625">
            <v>9</v>
          </cell>
        </row>
        <row r="4626">
          <cell r="A4626" t="str">
            <v>76380894</v>
          </cell>
          <cell r="B4626">
            <v>2</v>
          </cell>
        </row>
        <row r="4627">
          <cell r="A4627" t="str">
            <v>76382270</v>
          </cell>
          <cell r="B4627">
            <v>6</v>
          </cell>
        </row>
        <row r="4628">
          <cell r="A4628" t="str">
            <v>76389511</v>
          </cell>
          <cell r="B4628">
            <v>5</v>
          </cell>
        </row>
        <row r="4629">
          <cell r="A4629" t="str">
            <v>76399606</v>
          </cell>
          <cell r="B4629">
            <v>1</v>
          </cell>
        </row>
        <row r="4630">
          <cell r="A4630" t="str">
            <v>76410015</v>
          </cell>
          <cell r="B4630">
            <v>6</v>
          </cell>
        </row>
        <row r="4631">
          <cell r="A4631" t="str">
            <v>76412746</v>
          </cell>
          <cell r="B4631">
            <v>2</v>
          </cell>
        </row>
        <row r="4632">
          <cell r="A4632" t="str">
            <v>76439443</v>
          </cell>
          <cell r="B4632">
            <v>5</v>
          </cell>
        </row>
        <row r="4633">
          <cell r="A4633" t="str">
            <v>76439914</v>
          </cell>
          <cell r="B4633">
            <v>34</v>
          </cell>
        </row>
        <row r="4634">
          <cell r="A4634" t="str">
            <v>76441007</v>
          </cell>
          <cell r="B4634">
            <v>6</v>
          </cell>
        </row>
        <row r="4635">
          <cell r="A4635" t="str">
            <v>76448203</v>
          </cell>
          <cell r="B4635">
            <v>2</v>
          </cell>
        </row>
        <row r="4636">
          <cell r="A4636" t="str">
            <v>76457029</v>
          </cell>
          <cell r="B4636">
            <v>18</v>
          </cell>
        </row>
        <row r="4637">
          <cell r="A4637" t="str">
            <v>76461891</v>
          </cell>
          <cell r="B4637">
            <v>2</v>
          </cell>
        </row>
        <row r="4638">
          <cell r="A4638" t="str">
            <v>76464338</v>
          </cell>
          <cell r="B4638">
            <v>8</v>
          </cell>
        </row>
        <row r="4639">
          <cell r="A4639" t="str">
            <v>76466272</v>
          </cell>
          <cell r="B4639">
            <v>17</v>
          </cell>
        </row>
        <row r="4640">
          <cell r="A4640" t="str">
            <v>76468947</v>
          </cell>
          <cell r="B4640">
            <v>1</v>
          </cell>
        </row>
        <row r="4641">
          <cell r="A4641" t="str">
            <v>76470319</v>
          </cell>
          <cell r="B4641">
            <v>1</v>
          </cell>
        </row>
        <row r="4642">
          <cell r="A4642" t="str">
            <v>76473428</v>
          </cell>
          <cell r="B4642">
            <v>1</v>
          </cell>
        </row>
        <row r="4643">
          <cell r="A4643" t="str">
            <v>76478108</v>
          </cell>
          <cell r="B4643">
            <v>11</v>
          </cell>
        </row>
        <row r="4644">
          <cell r="A4644" t="str">
            <v>76478732</v>
          </cell>
          <cell r="B4644">
            <v>28</v>
          </cell>
        </row>
        <row r="4645">
          <cell r="A4645" t="str">
            <v>76503338</v>
          </cell>
          <cell r="B4645">
            <v>3</v>
          </cell>
        </row>
        <row r="4646">
          <cell r="A4646" t="str">
            <v>76506486</v>
          </cell>
          <cell r="B4646">
            <v>2</v>
          </cell>
        </row>
        <row r="4647">
          <cell r="A4647" t="str">
            <v>76509500</v>
          </cell>
          <cell r="B4647">
            <v>116</v>
          </cell>
        </row>
        <row r="4648">
          <cell r="A4648" t="str">
            <v>76527552</v>
          </cell>
          <cell r="B4648">
            <v>2</v>
          </cell>
        </row>
        <row r="4649">
          <cell r="A4649" t="str">
            <v>76527893</v>
          </cell>
          <cell r="B4649">
            <v>1</v>
          </cell>
        </row>
        <row r="4650">
          <cell r="A4650" t="str">
            <v>76536610</v>
          </cell>
          <cell r="B4650">
            <v>36</v>
          </cell>
        </row>
        <row r="4651">
          <cell r="A4651" t="str">
            <v>76542922</v>
          </cell>
          <cell r="B4651">
            <v>2</v>
          </cell>
        </row>
        <row r="4652">
          <cell r="A4652" t="str">
            <v>76549605</v>
          </cell>
          <cell r="B4652">
            <v>3</v>
          </cell>
        </row>
        <row r="4653">
          <cell r="A4653" t="str">
            <v>76555248</v>
          </cell>
          <cell r="B4653">
            <v>3</v>
          </cell>
        </row>
        <row r="4654">
          <cell r="A4654" t="str">
            <v>76556023</v>
          </cell>
          <cell r="B4654">
            <v>1</v>
          </cell>
        </row>
        <row r="4655">
          <cell r="A4655" t="str">
            <v>76557626</v>
          </cell>
          <cell r="B4655">
            <v>22</v>
          </cell>
        </row>
        <row r="4656">
          <cell r="A4656" t="str">
            <v>76567921</v>
          </cell>
          <cell r="B4656">
            <v>14</v>
          </cell>
        </row>
        <row r="4657">
          <cell r="A4657" t="str">
            <v>76569088</v>
          </cell>
          <cell r="B4657">
            <v>36</v>
          </cell>
        </row>
        <row r="4658">
          <cell r="A4658" t="str">
            <v>76572921</v>
          </cell>
          <cell r="B4658">
            <v>1</v>
          </cell>
        </row>
        <row r="4659">
          <cell r="A4659" t="str">
            <v>76575438</v>
          </cell>
          <cell r="B4659">
            <v>1</v>
          </cell>
        </row>
        <row r="4660">
          <cell r="A4660" t="str">
            <v>76582039</v>
          </cell>
          <cell r="B4660">
            <v>28</v>
          </cell>
        </row>
        <row r="4661">
          <cell r="A4661" t="str">
            <v>76584311</v>
          </cell>
          <cell r="B4661">
            <v>10</v>
          </cell>
        </row>
        <row r="4662">
          <cell r="A4662" t="str">
            <v>76586168</v>
          </cell>
          <cell r="B4662">
            <v>11</v>
          </cell>
        </row>
        <row r="4663">
          <cell r="A4663" t="str">
            <v>76587854</v>
          </cell>
          <cell r="B4663">
            <v>2</v>
          </cell>
        </row>
        <row r="4664">
          <cell r="A4664" t="str">
            <v>76595149</v>
          </cell>
          <cell r="B4664">
            <v>9</v>
          </cell>
        </row>
        <row r="4665">
          <cell r="A4665" t="str">
            <v>76597327</v>
          </cell>
          <cell r="B4665">
            <v>14</v>
          </cell>
        </row>
        <row r="4666">
          <cell r="A4666" t="str">
            <v>76599759</v>
          </cell>
          <cell r="B4666">
            <v>1</v>
          </cell>
        </row>
        <row r="4667">
          <cell r="A4667" t="str">
            <v>76599832</v>
          </cell>
          <cell r="B4667">
            <v>11</v>
          </cell>
        </row>
        <row r="4668">
          <cell r="A4668" t="str">
            <v>76603090</v>
          </cell>
          <cell r="B4668">
            <v>1</v>
          </cell>
        </row>
        <row r="4669">
          <cell r="A4669" t="str">
            <v>76609043</v>
          </cell>
          <cell r="B4669">
            <v>30</v>
          </cell>
        </row>
        <row r="4670">
          <cell r="A4670" t="str">
            <v>76613047</v>
          </cell>
          <cell r="B4670">
            <v>11</v>
          </cell>
        </row>
        <row r="4671">
          <cell r="A4671" t="str">
            <v>76615584</v>
          </cell>
          <cell r="B4671">
            <v>83</v>
          </cell>
        </row>
        <row r="4672">
          <cell r="A4672" t="str">
            <v>76629236</v>
          </cell>
          <cell r="B4672">
            <v>3</v>
          </cell>
        </row>
        <row r="4673">
          <cell r="A4673" t="str">
            <v>76630942</v>
          </cell>
          <cell r="B4673">
            <v>9</v>
          </cell>
        </row>
        <row r="4674">
          <cell r="A4674" t="str">
            <v>76633910</v>
          </cell>
          <cell r="B4674">
            <v>14</v>
          </cell>
        </row>
        <row r="4675">
          <cell r="A4675" t="str">
            <v>76636736</v>
          </cell>
          <cell r="B4675">
            <v>12</v>
          </cell>
        </row>
        <row r="4676">
          <cell r="A4676" t="str">
            <v>76637720</v>
          </cell>
          <cell r="B4676">
            <v>16</v>
          </cell>
        </row>
        <row r="4677">
          <cell r="A4677" t="str">
            <v>76640993</v>
          </cell>
          <cell r="B4677">
            <v>11</v>
          </cell>
        </row>
        <row r="4678">
          <cell r="A4678" t="str">
            <v>76644434</v>
          </cell>
          <cell r="B4678">
            <v>45</v>
          </cell>
        </row>
        <row r="4679">
          <cell r="A4679" t="str">
            <v>76647964</v>
          </cell>
          <cell r="B4679">
            <v>3</v>
          </cell>
        </row>
        <row r="4680">
          <cell r="A4680" t="str">
            <v>76651690</v>
          </cell>
          <cell r="B4680">
            <v>4</v>
          </cell>
        </row>
        <row r="4681">
          <cell r="A4681" t="str">
            <v>76653988</v>
          </cell>
          <cell r="B4681">
            <v>1</v>
          </cell>
        </row>
        <row r="4682">
          <cell r="A4682" t="str">
            <v>76657063</v>
          </cell>
          <cell r="B4682">
            <v>3</v>
          </cell>
        </row>
        <row r="4683">
          <cell r="A4683" t="str">
            <v>76660540</v>
          </cell>
          <cell r="B4683">
            <v>9</v>
          </cell>
        </row>
        <row r="4684">
          <cell r="A4684" t="str">
            <v>76670885</v>
          </cell>
          <cell r="B4684">
            <v>21</v>
          </cell>
        </row>
        <row r="4685">
          <cell r="A4685" t="str">
            <v>76676149</v>
          </cell>
          <cell r="B4685">
            <v>1</v>
          </cell>
        </row>
        <row r="4686">
          <cell r="A4686" t="str">
            <v>76687591</v>
          </cell>
          <cell r="B4686">
            <v>14</v>
          </cell>
        </row>
        <row r="4687">
          <cell r="A4687" t="str">
            <v>76688515</v>
          </cell>
          <cell r="B4687">
            <v>19</v>
          </cell>
        </row>
        <row r="4688">
          <cell r="A4688" t="str">
            <v>76696891</v>
          </cell>
          <cell r="B4688">
            <v>19</v>
          </cell>
        </row>
        <row r="4689">
          <cell r="A4689" t="str">
            <v>76700819</v>
          </cell>
          <cell r="B4689">
            <v>1</v>
          </cell>
        </row>
        <row r="4690">
          <cell r="A4690" t="str">
            <v>76723036</v>
          </cell>
          <cell r="B4690">
            <v>20</v>
          </cell>
        </row>
        <row r="4691">
          <cell r="A4691" t="str">
            <v>76730037</v>
          </cell>
          <cell r="B4691">
            <v>31</v>
          </cell>
        </row>
        <row r="4692">
          <cell r="A4692" t="str">
            <v>76730770</v>
          </cell>
          <cell r="B4692">
            <v>5</v>
          </cell>
        </row>
        <row r="4693">
          <cell r="A4693" t="str">
            <v>76732087</v>
          </cell>
          <cell r="B4693">
            <v>1</v>
          </cell>
        </row>
        <row r="4694">
          <cell r="A4694" t="str">
            <v>76738608</v>
          </cell>
          <cell r="B4694">
            <v>2</v>
          </cell>
        </row>
        <row r="4695">
          <cell r="A4695" t="str">
            <v>76738791</v>
          </cell>
          <cell r="B4695">
            <v>2</v>
          </cell>
        </row>
        <row r="4696">
          <cell r="A4696" t="str">
            <v>76743726</v>
          </cell>
          <cell r="B4696">
            <v>1</v>
          </cell>
        </row>
        <row r="4697">
          <cell r="A4697" t="str">
            <v>76746405</v>
          </cell>
          <cell r="B4697">
            <v>11</v>
          </cell>
        </row>
        <row r="4698">
          <cell r="A4698" t="str">
            <v>76753279</v>
          </cell>
          <cell r="B4698">
            <v>10</v>
          </cell>
        </row>
        <row r="4699">
          <cell r="A4699" t="str">
            <v>76753984</v>
          </cell>
          <cell r="B4699">
            <v>8</v>
          </cell>
        </row>
        <row r="4700">
          <cell r="A4700" t="str">
            <v>76754724</v>
          </cell>
          <cell r="B4700">
            <v>1</v>
          </cell>
        </row>
        <row r="4701">
          <cell r="A4701" t="str">
            <v>76761158</v>
          </cell>
          <cell r="B4701">
            <v>6</v>
          </cell>
        </row>
        <row r="4702">
          <cell r="A4702" t="str">
            <v>76764700</v>
          </cell>
          <cell r="B4702">
            <v>1</v>
          </cell>
        </row>
        <row r="4703">
          <cell r="A4703" t="str">
            <v>76769818</v>
          </cell>
          <cell r="B4703">
            <v>103</v>
          </cell>
        </row>
        <row r="4704">
          <cell r="A4704" t="str">
            <v>76779327</v>
          </cell>
          <cell r="B4704">
            <v>32</v>
          </cell>
        </row>
        <row r="4705">
          <cell r="A4705" t="str">
            <v>76779583</v>
          </cell>
          <cell r="B4705">
            <v>3</v>
          </cell>
        </row>
        <row r="4706">
          <cell r="A4706" t="str">
            <v>76786001</v>
          </cell>
          <cell r="B4706">
            <v>5</v>
          </cell>
        </row>
        <row r="4707">
          <cell r="A4707" t="str">
            <v>76790232</v>
          </cell>
          <cell r="B4707">
            <v>5</v>
          </cell>
        </row>
        <row r="4708">
          <cell r="A4708" t="str">
            <v>76791476</v>
          </cell>
          <cell r="B4708">
            <v>6</v>
          </cell>
        </row>
        <row r="4709">
          <cell r="A4709" t="str">
            <v>76802650</v>
          </cell>
          <cell r="B4709">
            <v>1</v>
          </cell>
        </row>
        <row r="4710">
          <cell r="A4710" t="str">
            <v>76808762</v>
          </cell>
          <cell r="B4710">
            <v>11</v>
          </cell>
        </row>
        <row r="4711">
          <cell r="A4711" t="str">
            <v>76810071</v>
          </cell>
          <cell r="B4711">
            <v>16</v>
          </cell>
        </row>
        <row r="4712">
          <cell r="A4712" t="str">
            <v>76814377</v>
          </cell>
          <cell r="B4712">
            <v>4</v>
          </cell>
        </row>
        <row r="4713">
          <cell r="A4713" t="str">
            <v>76815217</v>
          </cell>
          <cell r="B4713">
            <v>1</v>
          </cell>
        </row>
        <row r="4714">
          <cell r="A4714" t="str">
            <v>76817152</v>
          </cell>
          <cell r="B4714">
            <v>5</v>
          </cell>
        </row>
        <row r="4715">
          <cell r="A4715" t="str">
            <v>76819228</v>
          </cell>
          <cell r="B4715">
            <v>6</v>
          </cell>
        </row>
        <row r="4716">
          <cell r="A4716" t="str">
            <v>76821168</v>
          </cell>
          <cell r="B4716">
            <v>11</v>
          </cell>
        </row>
        <row r="4717">
          <cell r="A4717" t="str">
            <v>76835231</v>
          </cell>
          <cell r="B4717">
            <v>3</v>
          </cell>
        </row>
        <row r="4718">
          <cell r="A4718" t="str">
            <v>76841240</v>
          </cell>
          <cell r="B4718">
            <v>21</v>
          </cell>
        </row>
        <row r="4719">
          <cell r="A4719" t="str">
            <v>76845131</v>
          </cell>
          <cell r="B4719">
            <v>8</v>
          </cell>
        </row>
        <row r="4720">
          <cell r="A4720" t="str">
            <v>76848289</v>
          </cell>
          <cell r="B4720">
            <v>1</v>
          </cell>
        </row>
        <row r="4721">
          <cell r="A4721" t="str">
            <v>76853252</v>
          </cell>
          <cell r="B4721">
            <v>3</v>
          </cell>
        </row>
        <row r="4722">
          <cell r="A4722" t="str">
            <v>76855374</v>
          </cell>
          <cell r="B4722">
            <v>3</v>
          </cell>
        </row>
        <row r="4723">
          <cell r="A4723" t="str">
            <v>76855414</v>
          </cell>
          <cell r="B4723">
            <v>10</v>
          </cell>
        </row>
        <row r="4724">
          <cell r="A4724" t="str">
            <v>76856356</v>
          </cell>
          <cell r="B4724">
            <v>8</v>
          </cell>
        </row>
        <row r="4725">
          <cell r="A4725" t="str">
            <v>76866751</v>
          </cell>
          <cell r="B4725">
            <v>3</v>
          </cell>
        </row>
        <row r="4726">
          <cell r="A4726" t="str">
            <v>76867686</v>
          </cell>
          <cell r="B4726">
            <v>2</v>
          </cell>
        </row>
        <row r="4727">
          <cell r="A4727" t="str">
            <v>76870801</v>
          </cell>
          <cell r="B4727">
            <v>1</v>
          </cell>
        </row>
        <row r="4728">
          <cell r="A4728" t="str">
            <v>76878629</v>
          </cell>
          <cell r="B4728">
            <v>1</v>
          </cell>
        </row>
        <row r="4729">
          <cell r="A4729" t="str">
            <v>76891041</v>
          </cell>
          <cell r="B4729">
            <v>1</v>
          </cell>
        </row>
        <row r="4730">
          <cell r="A4730" t="str">
            <v>76903588</v>
          </cell>
          <cell r="B4730">
            <v>18</v>
          </cell>
        </row>
        <row r="4731">
          <cell r="A4731" t="str">
            <v>76906137</v>
          </cell>
          <cell r="B4731">
            <v>1</v>
          </cell>
        </row>
        <row r="4732">
          <cell r="A4732" t="str">
            <v>76929306</v>
          </cell>
          <cell r="B4732">
            <v>3</v>
          </cell>
        </row>
        <row r="4733">
          <cell r="A4733" t="str">
            <v>76929694</v>
          </cell>
          <cell r="B4733">
            <v>7</v>
          </cell>
        </row>
        <row r="4734">
          <cell r="A4734" t="str">
            <v>76935116</v>
          </cell>
          <cell r="B4734">
            <v>3</v>
          </cell>
        </row>
        <row r="4735">
          <cell r="A4735" t="str">
            <v>76938648</v>
          </cell>
          <cell r="B4735">
            <v>2</v>
          </cell>
        </row>
        <row r="4736">
          <cell r="A4736" t="str">
            <v>76947716</v>
          </cell>
          <cell r="B4736">
            <v>4</v>
          </cell>
        </row>
        <row r="4737">
          <cell r="A4737" t="str">
            <v>76954921</v>
          </cell>
          <cell r="B4737">
            <v>1</v>
          </cell>
        </row>
        <row r="4738">
          <cell r="A4738" t="str">
            <v>76959434</v>
          </cell>
          <cell r="B4738">
            <v>3</v>
          </cell>
        </row>
        <row r="4739">
          <cell r="A4739" t="str">
            <v>76960112</v>
          </cell>
          <cell r="B4739">
            <v>1</v>
          </cell>
        </row>
        <row r="4740">
          <cell r="A4740" t="str">
            <v>76965456</v>
          </cell>
          <cell r="B4740">
            <v>41</v>
          </cell>
        </row>
        <row r="4741">
          <cell r="A4741" t="str">
            <v>76967546</v>
          </cell>
          <cell r="B4741">
            <v>1</v>
          </cell>
        </row>
        <row r="4742">
          <cell r="A4742" t="str">
            <v>76976562</v>
          </cell>
          <cell r="B4742">
            <v>6</v>
          </cell>
        </row>
        <row r="4743">
          <cell r="A4743" t="str">
            <v>76991816</v>
          </cell>
          <cell r="B4743">
            <v>1</v>
          </cell>
        </row>
        <row r="4744">
          <cell r="A4744" t="str">
            <v>76994070</v>
          </cell>
          <cell r="B4744">
            <v>8</v>
          </cell>
        </row>
        <row r="4745">
          <cell r="A4745" t="str">
            <v>77015802</v>
          </cell>
          <cell r="B4745">
            <v>3</v>
          </cell>
        </row>
        <row r="4746">
          <cell r="A4746" t="str">
            <v>77023555</v>
          </cell>
          <cell r="B4746">
            <v>5</v>
          </cell>
        </row>
        <row r="4747">
          <cell r="A4747" t="str">
            <v>77026497</v>
          </cell>
          <cell r="B4747">
            <v>8</v>
          </cell>
        </row>
        <row r="4748">
          <cell r="A4748" t="str">
            <v>77028710</v>
          </cell>
          <cell r="B4748">
            <v>4</v>
          </cell>
        </row>
        <row r="4749">
          <cell r="A4749" t="str">
            <v>77045686</v>
          </cell>
          <cell r="B4749">
            <v>2</v>
          </cell>
        </row>
        <row r="4750">
          <cell r="A4750" t="str">
            <v>77050896</v>
          </cell>
          <cell r="B4750">
            <v>29</v>
          </cell>
        </row>
        <row r="4751">
          <cell r="A4751" t="str">
            <v>77062362</v>
          </cell>
          <cell r="B4751">
            <v>1</v>
          </cell>
        </row>
        <row r="4752">
          <cell r="A4752" t="str">
            <v>77063202</v>
          </cell>
          <cell r="B4752">
            <v>1</v>
          </cell>
        </row>
        <row r="4753">
          <cell r="A4753" t="str">
            <v>77065081</v>
          </cell>
          <cell r="B4753">
            <v>1</v>
          </cell>
        </row>
        <row r="4754">
          <cell r="A4754" t="str">
            <v>77068372</v>
          </cell>
          <cell r="B4754">
            <v>11</v>
          </cell>
        </row>
        <row r="4755">
          <cell r="A4755" t="str">
            <v>77068513</v>
          </cell>
          <cell r="B4755">
            <v>2</v>
          </cell>
        </row>
        <row r="4756">
          <cell r="A4756" t="str">
            <v>77074236</v>
          </cell>
          <cell r="B4756">
            <v>1</v>
          </cell>
        </row>
        <row r="4757">
          <cell r="A4757" t="str">
            <v>77083307</v>
          </cell>
          <cell r="B4757">
            <v>5</v>
          </cell>
        </row>
        <row r="4758">
          <cell r="A4758" t="str">
            <v>77085853</v>
          </cell>
          <cell r="B4758">
            <v>6</v>
          </cell>
        </row>
        <row r="4759">
          <cell r="A4759" t="str">
            <v>77086977</v>
          </cell>
          <cell r="B4759">
            <v>5</v>
          </cell>
        </row>
        <row r="4760">
          <cell r="A4760" t="str">
            <v>77089141</v>
          </cell>
          <cell r="B4760">
            <v>3</v>
          </cell>
        </row>
        <row r="4761">
          <cell r="A4761" t="str">
            <v>77095390</v>
          </cell>
          <cell r="B4761">
            <v>11</v>
          </cell>
        </row>
        <row r="4762">
          <cell r="A4762" t="str">
            <v>77125545</v>
          </cell>
          <cell r="B4762">
            <v>1</v>
          </cell>
        </row>
        <row r="4763">
          <cell r="A4763" t="str">
            <v>77128222</v>
          </cell>
          <cell r="B4763">
            <v>2</v>
          </cell>
        </row>
        <row r="4764">
          <cell r="A4764" t="str">
            <v>77129155</v>
          </cell>
          <cell r="B4764">
            <v>22</v>
          </cell>
        </row>
        <row r="4765">
          <cell r="A4765" t="str">
            <v>77131600</v>
          </cell>
          <cell r="B4765">
            <v>2</v>
          </cell>
        </row>
        <row r="4766">
          <cell r="A4766" t="str">
            <v>77134287</v>
          </cell>
          <cell r="B4766">
            <v>19</v>
          </cell>
        </row>
        <row r="4767">
          <cell r="A4767" t="str">
            <v>77135986</v>
          </cell>
          <cell r="B4767">
            <v>2</v>
          </cell>
        </row>
        <row r="4768">
          <cell r="A4768" t="str">
            <v>77136335</v>
          </cell>
          <cell r="B4768">
            <v>2</v>
          </cell>
        </row>
        <row r="4769">
          <cell r="A4769" t="str">
            <v>77138935</v>
          </cell>
          <cell r="B4769">
            <v>2</v>
          </cell>
        </row>
        <row r="4770">
          <cell r="A4770" t="str">
            <v>77141228</v>
          </cell>
          <cell r="B4770">
            <v>4</v>
          </cell>
        </row>
        <row r="4771">
          <cell r="A4771" t="str">
            <v>77142873</v>
          </cell>
          <cell r="B4771">
            <v>2</v>
          </cell>
        </row>
        <row r="4772">
          <cell r="A4772" t="str">
            <v>77143938</v>
          </cell>
          <cell r="B4772">
            <v>4</v>
          </cell>
        </row>
        <row r="4773">
          <cell r="A4773" t="str">
            <v>77151513</v>
          </cell>
          <cell r="B4773">
            <v>3</v>
          </cell>
        </row>
        <row r="4774">
          <cell r="A4774" t="str">
            <v>77153164</v>
          </cell>
          <cell r="B4774">
            <v>2</v>
          </cell>
        </row>
        <row r="4775">
          <cell r="A4775" t="str">
            <v>77163029</v>
          </cell>
          <cell r="B4775">
            <v>14</v>
          </cell>
        </row>
        <row r="4776">
          <cell r="A4776" t="str">
            <v>77163221</v>
          </cell>
          <cell r="B4776">
            <v>104</v>
          </cell>
        </row>
        <row r="4777">
          <cell r="A4777" t="str">
            <v>77163407</v>
          </cell>
          <cell r="B4777">
            <v>3</v>
          </cell>
        </row>
        <row r="4778">
          <cell r="A4778" t="str">
            <v>77171264</v>
          </cell>
          <cell r="B4778">
            <v>4</v>
          </cell>
        </row>
        <row r="4779">
          <cell r="A4779" t="str">
            <v>77172950</v>
          </cell>
          <cell r="B4779">
            <v>2</v>
          </cell>
        </row>
        <row r="4780">
          <cell r="A4780" t="str">
            <v>77178676</v>
          </cell>
          <cell r="B4780">
            <v>11</v>
          </cell>
        </row>
        <row r="4781">
          <cell r="A4781" t="str">
            <v>77204680</v>
          </cell>
          <cell r="B4781">
            <v>13</v>
          </cell>
        </row>
        <row r="4782">
          <cell r="A4782" t="str">
            <v>77206669</v>
          </cell>
          <cell r="B4782">
            <v>6</v>
          </cell>
        </row>
        <row r="4783">
          <cell r="A4783" t="str">
            <v>77206802</v>
          </cell>
          <cell r="B4783">
            <v>1</v>
          </cell>
        </row>
        <row r="4784">
          <cell r="A4784" t="str">
            <v>77208684</v>
          </cell>
          <cell r="B4784">
            <v>2</v>
          </cell>
        </row>
        <row r="4785">
          <cell r="A4785" t="str">
            <v>77209179</v>
          </cell>
          <cell r="B4785">
            <v>17</v>
          </cell>
        </row>
        <row r="4786">
          <cell r="A4786" t="str">
            <v>77235616</v>
          </cell>
          <cell r="B4786">
            <v>2</v>
          </cell>
        </row>
        <row r="4787">
          <cell r="A4787" t="str">
            <v>77245013</v>
          </cell>
          <cell r="B4787">
            <v>106</v>
          </cell>
        </row>
        <row r="4788">
          <cell r="A4788" t="str">
            <v>77268798</v>
          </cell>
          <cell r="B4788">
            <v>8</v>
          </cell>
        </row>
        <row r="4789">
          <cell r="A4789" t="str">
            <v>77270151</v>
          </cell>
          <cell r="B4789">
            <v>1</v>
          </cell>
        </row>
        <row r="4790">
          <cell r="A4790" t="str">
            <v>77270717</v>
          </cell>
          <cell r="B4790">
            <v>46</v>
          </cell>
        </row>
        <row r="4791">
          <cell r="A4791" t="str">
            <v>77272994</v>
          </cell>
          <cell r="B4791">
            <v>12</v>
          </cell>
        </row>
        <row r="4792">
          <cell r="A4792" t="str">
            <v>77278426</v>
          </cell>
          <cell r="B4792">
            <v>3</v>
          </cell>
        </row>
        <row r="4793">
          <cell r="A4793" t="str">
            <v>77283959</v>
          </cell>
          <cell r="B4793">
            <v>4</v>
          </cell>
        </row>
        <row r="4794">
          <cell r="A4794" t="str">
            <v>77286993</v>
          </cell>
          <cell r="B4794">
            <v>10</v>
          </cell>
        </row>
        <row r="4795">
          <cell r="A4795" t="str">
            <v>77289248</v>
          </cell>
          <cell r="B4795">
            <v>3</v>
          </cell>
        </row>
        <row r="4796">
          <cell r="A4796" t="str">
            <v>77289571</v>
          </cell>
          <cell r="B4796">
            <v>1</v>
          </cell>
        </row>
        <row r="4797">
          <cell r="A4797" t="str">
            <v>77300037</v>
          </cell>
          <cell r="B4797">
            <v>19</v>
          </cell>
        </row>
        <row r="4798">
          <cell r="A4798" t="str">
            <v>77300136</v>
          </cell>
          <cell r="B4798">
            <v>3</v>
          </cell>
        </row>
        <row r="4799">
          <cell r="A4799" t="str">
            <v>77322026</v>
          </cell>
          <cell r="B4799">
            <v>3</v>
          </cell>
        </row>
        <row r="4800">
          <cell r="A4800" t="str">
            <v>77322752</v>
          </cell>
          <cell r="B4800">
            <v>6</v>
          </cell>
        </row>
        <row r="4801">
          <cell r="A4801" t="str">
            <v>77330524</v>
          </cell>
          <cell r="B4801">
            <v>13</v>
          </cell>
        </row>
        <row r="4802">
          <cell r="A4802" t="str">
            <v>77330960</v>
          </cell>
          <cell r="B4802">
            <v>2</v>
          </cell>
        </row>
        <row r="4803">
          <cell r="A4803" t="str">
            <v>77331673</v>
          </cell>
          <cell r="B4803">
            <v>75</v>
          </cell>
        </row>
        <row r="4804">
          <cell r="A4804" t="str">
            <v>77332270</v>
          </cell>
          <cell r="B4804">
            <v>7</v>
          </cell>
        </row>
        <row r="4805">
          <cell r="A4805" t="str">
            <v>77333237</v>
          </cell>
          <cell r="B4805">
            <v>9</v>
          </cell>
        </row>
        <row r="4806">
          <cell r="A4806" t="str">
            <v>77335583</v>
          </cell>
          <cell r="B4806">
            <v>3</v>
          </cell>
        </row>
        <row r="4807">
          <cell r="A4807" t="str">
            <v>77380818</v>
          </cell>
          <cell r="B4807">
            <v>2</v>
          </cell>
        </row>
        <row r="4808">
          <cell r="A4808" t="str">
            <v>77383903</v>
          </cell>
          <cell r="B4808">
            <v>5</v>
          </cell>
        </row>
        <row r="4809">
          <cell r="A4809" t="str">
            <v>77385394</v>
          </cell>
          <cell r="B4809">
            <v>41</v>
          </cell>
        </row>
        <row r="4810">
          <cell r="A4810" t="str">
            <v>77387722</v>
          </cell>
          <cell r="B4810">
            <v>2</v>
          </cell>
        </row>
        <row r="4811">
          <cell r="A4811" t="str">
            <v>77387964</v>
          </cell>
          <cell r="B4811">
            <v>24</v>
          </cell>
        </row>
        <row r="4812">
          <cell r="A4812" t="str">
            <v>77393016</v>
          </cell>
          <cell r="B4812">
            <v>10</v>
          </cell>
        </row>
        <row r="4813">
          <cell r="A4813" t="str">
            <v>77414618</v>
          </cell>
          <cell r="B4813">
            <v>3</v>
          </cell>
        </row>
        <row r="4814">
          <cell r="A4814" t="str">
            <v>77415869</v>
          </cell>
          <cell r="B4814">
            <v>15</v>
          </cell>
        </row>
        <row r="4815">
          <cell r="A4815" t="str">
            <v>77416894</v>
          </cell>
          <cell r="B4815">
            <v>19</v>
          </cell>
        </row>
        <row r="4816">
          <cell r="A4816" t="str">
            <v>77423995</v>
          </cell>
          <cell r="B4816">
            <v>3</v>
          </cell>
        </row>
        <row r="4817">
          <cell r="A4817" t="str">
            <v>77424147</v>
          </cell>
          <cell r="B4817">
            <v>1</v>
          </cell>
        </row>
        <row r="4818">
          <cell r="A4818" t="str">
            <v>77427689</v>
          </cell>
          <cell r="B4818">
            <v>5</v>
          </cell>
        </row>
        <row r="4819">
          <cell r="A4819" t="str">
            <v>77429462</v>
          </cell>
          <cell r="B4819">
            <v>2</v>
          </cell>
        </row>
        <row r="4820">
          <cell r="A4820" t="str">
            <v>77432231</v>
          </cell>
          <cell r="B4820">
            <v>5</v>
          </cell>
        </row>
        <row r="4821">
          <cell r="A4821" t="str">
            <v>77435134</v>
          </cell>
          <cell r="B4821">
            <v>3</v>
          </cell>
        </row>
        <row r="4822">
          <cell r="A4822" t="str">
            <v>77436292</v>
          </cell>
          <cell r="B4822">
            <v>2</v>
          </cell>
        </row>
        <row r="4823">
          <cell r="A4823" t="str">
            <v>77473751</v>
          </cell>
          <cell r="B4823">
            <v>2</v>
          </cell>
        </row>
        <row r="4824">
          <cell r="A4824" t="str">
            <v>77474726</v>
          </cell>
          <cell r="B4824">
            <v>30</v>
          </cell>
        </row>
        <row r="4825">
          <cell r="A4825" t="str">
            <v>77476466</v>
          </cell>
          <cell r="B4825">
            <v>89</v>
          </cell>
        </row>
        <row r="4826">
          <cell r="A4826" t="str">
            <v>77476851</v>
          </cell>
          <cell r="B4826">
            <v>14</v>
          </cell>
        </row>
        <row r="4827">
          <cell r="A4827" t="str">
            <v>77482005</v>
          </cell>
          <cell r="B4827">
            <v>13</v>
          </cell>
        </row>
        <row r="4828">
          <cell r="A4828" t="str">
            <v>77487032</v>
          </cell>
          <cell r="B4828">
            <v>3</v>
          </cell>
        </row>
        <row r="4829">
          <cell r="A4829" t="str">
            <v>77488511</v>
          </cell>
          <cell r="B4829">
            <v>3</v>
          </cell>
        </row>
        <row r="4830">
          <cell r="A4830" t="str">
            <v>77490423</v>
          </cell>
          <cell r="B4830">
            <v>6</v>
          </cell>
        </row>
        <row r="4831">
          <cell r="A4831" t="str">
            <v>77497355</v>
          </cell>
          <cell r="B4831">
            <v>1</v>
          </cell>
        </row>
        <row r="4832">
          <cell r="A4832" t="str">
            <v>77499321</v>
          </cell>
          <cell r="B4832">
            <v>91</v>
          </cell>
        </row>
        <row r="4833">
          <cell r="A4833" t="str">
            <v>77504077</v>
          </cell>
          <cell r="B4833">
            <v>47</v>
          </cell>
        </row>
        <row r="4834">
          <cell r="A4834" t="str">
            <v>77506461</v>
          </cell>
          <cell r="B4834">
            <v>6</v>
          </cell>
        </row>
        <row r="4835">
          <cell r="A4835" t="str">
            <v>77529639</v>
          </cell>
          <cell r="B4835">
            <v>12</v>
          </cell>
        </row>
        <row r="4836">
          <cell r="A4836" t="str">
            <v>77532646</v>
          </cell>
          <cell r="B4836">
            <v>2</v>
          </cell>
        </row>
        <row r="4837">
          <cell r="A4837" t="str">
            <v>77536157</v>
          </cell>
          <cell r="B4837">
            <v>5</v>
          </cell>
        </row>
        <row r="4838">
          <cell r="A4838" t="str">
            <v>77541521</v>
          </cell>
          <cell r="B4838">
            <v>2</v>
          </cell>
        </row>
        <row r="4839">
          <cell r="A4839" t="str">
            <v>77567892</v>
          </cell>
          <cell r="B4839">
            <v>1</v>
          </cell>
        </row>
        <row r="4840">
          <cell r="A4840" t="str">
            <v>77572315</v>
          </cell>
          <cell r="B4840">
            <v>2</v>
          </cell>
        </row>
        <row r="4841">
          <cell r="A4841" t="str">
            <v>77574362</v>
          </cell>
          <cell r="B4841">
            <v>7</v>
          </cell>
        </row>
        <row r="4842">
          <cell r="A4842" t="str">
            <v>77631410</v>
          </cell>
          <cell r="B4842">
            <v>6</v>
          </cell>
        </row>
        <row r="4843">
          <cell r="A4843" t="str">
            <v>77667626</v>
          </cell>
          <cell r="B4843">
            <v>8</v>
          </cell>
        </row>
        <row r="4844">
          <cell r="A4844" t="str">
            <v>77672696</v>
          </cell>
          <cell r="B4844">
            <v>14</v>
          </cell>
        </row>
        <row r="4845">
          <cell r="A4845" t="str">
            <v>77673518</v>
          </cell>
          <cell r="B4845">
            <v>2</v>
          </cell>
        </row>
        <row r="4846">
          <cell r="A4846" t="str">
            <v>77673705</v>
          </cell>
          <cell r="B4846">
            <v>2</v>
          </cell>
        </row>
        <row r="4847">
          <cell r="A4847" t="str">
            <v>77676858</v>
          </cell>
          <cell r="B4847">
            <v>7</v>
          </cell>
        </row>
        <row r="4848">
          <cell r="A4848" t="str">
            <v>77678909</v>
          </cell>
          <cell r="B4848">
            <v>7</v>
          </cell>
        </row>
        <row r="4849">
          <cell r="A4849" t="str">
            <v>77685540</v>
          </cell>
          <cell r="B4849">
            <v>3</v>
          </cell>
        </row>
        <row r="4850">
          <cell r="A4850" t="str">
            <v>77687962</v>
          </cell>
          <cell r="B4850">
            <v>4</v>
          </cell>
        </row>
        <row r="4851">
          <cell r="A4851" t="str">
            <v>77688694</v>
          </cell>
          <cell r="B4851">
            <v>1</v>
          </cell>
        </row>
        <row r="4852">
          <cell r="A4852" t="str">
            <v>77689691</v>
          </cell>
          <cell r="B4852">
            <v>2</v>
          </cell>
        </row>
        <row r="4853">
          <cell r="A4853" t="str">
            <v>77689754</v>
          </cell>
          <cell r="B4853">
            <v>1</v>
          </cell>
        </row>
        <row r="4854">
          <cell r="A4854" t="str">
            <v>77694767</v>
          </cell>
          <cell r="B4854">
            <v>112</v>
          </cell>
        </row>
        <row r="4855">
          <cell r="A4855" t="str">
            <v>77697847</v>
          </cell>
          <cell r="B4855">
            <v>6</v>
          </cell>
        </row>
        <row r="4856">
          <cell r="A4856" t="str">
            <v>77700640</v>
          </cell>
          <cell r="B4856">
            <v>8</v>
          </cell>
        </row>
        <row r="4857">
          <cell r="A4857" t="str">
            <v>77705736</v>
          </cell>
          <cell r="B4857">
            <v>4</v>
          </cell>
        </row>
        <row r="4858">
          <cell r="A4858" t="str">
            <v>77706023</v>
          </cell>
          <cell r="B4858">
            <v>1</v>
          </cell>
        </row>
        <row r="4859">
          <cell r="A4859" t="str">
            <v>77706447</v>
          </cell>
          <cell r="B4859">
            <v>4</v>
          </cell>
        </row>
        <row r="4860">
          <cell r="A4860" t="str">
            <v>77708229</v>
          </cell>
          <cell r="B4860">
            <v>7</v>
          </cell>
        </row>
        <row r="4861">
          <cell r="A4861" t="str">
            <v>77798215</v>
          </cell>
          <cell r="B4861">
            <v>91</v>
          </cell>
        </row>
        <row r="4862">
          <cell r="A4862" t="str">
            <v>77798824</v>
          </cell>
          <cell r="B4862">
            <v>4</v>
          </cell>
        </row>
        <row r="4863">
          <cell r="A4863" t="str">
            <v>77800157</v>
          </cell>
          <cell r="B4863">
            <v>4</v>
          </cell>
        </row>
        <row r="4864">
          <cell r="A4864" t="str">
            <v>77800500</v>
          </cell>
          <cell r="B4864">
            <v>3</v>
          </cell>
        </row>
        <row r="4865">
          <cell r="A4865" t="str">
            <v>77800769</v>
          </cell>
          <cell r="B4865">
            <v>2</v>
          </cell>
        </row>
        <row r="4866">
          <cell r="A4866" t="str">
            <v>77804951</v>
          </cell>
          <cell r="B4866">
            <v>14</v>
          </cell>
        </row>
        <row r="4867">
          <cell r="A4867" t="str">
            <v>77811425</v>
          </cell>
          <cell r="B4867">
            <v>3</v>
          </cell>
        </row>
        <row r="4868">
          <cell r="A4868" t="str">
            <v>77815347</v>
          </cell>
          <cell r="B4868">
            <v>1</v>
          </cell>
        </row>
        <row r="4869">
          <cell r="A4869" t="str">
            <v>77815507</v>
          </cell>
          <cell r="B4869">
            <v>2</v>
          </cell>
        </row>
        <row r="4870">
          <cell r="A4870" t="str">
            <v>77910115</v>
          </cell>
          <cell r="B4870">
            <v>2</v>
          </cell>
        </row>
        <row r="4871">
          <cell r="A4871" t="str">
            <v>77910911</v>
          </cell>
          <cell r="B4871">
            <v>2</v>
          </cell>
        </row>
        <row r="4872">
          <cell r="A4872" t="str">
            <v>77913487</v>
          </cell>
          <cell r="B4872">
            <v>4</v>
          </cell>
        </row>
        <row r="4873">
          <cell r="A4873" t="str">
            <v>77979226</v>
          </cell>
          <cell r="B4873">
            <v>4</v>
          </cell>
        </row>
        <row r="4874">
          <cell r="A4874" t="str">
            <v>78017866</v>
          </cell>
          <cell r="B4874">
            <v>1</v>
          </cell>
        </row>
        <row r="4875">
          <cell r="A4875" t="str">
            <v>78105416</v>
          </cell>
          <cell r="B4875">
            <v>7</v>
          </cell>
        </row>
        <row r="4876">
          <cell r="A4876" t="str">
            <v>78112516</v>
          </cell>
          <cell r="B4876">
            <v>31</v>
          </cell>
        </row>
        <row r="4877">
          <cell r="A4877" t="str">
            <v>78116959</v>
          </cell>
          <cell r="B4877">
            <v>1</v>
          </cell>
        </row>
        <row r="4878">
          <cell r="A4878" t="str">
            <v>78200026</v>
          </cell>
          <cell r="B4878">
            <v>2</v>
          </cell>
        </row>
        <row r="4879">
          <cell r="A4879" t="str">
            <v>78226101</v>
          </cell>
          <cell r="B4879">
            <v>2</v>
          </cell>
        </row>
        <row r="4880">
          <cell r="A4880" t="str">
            <v>78288264</v>
          </cell>
          <cell r="B4880">
            <v>4</v>
          </cell>
        </row>
        <row r="4881">
          <cell r="A4881" t="str">
            <v>78376850</v>
          </cell>
          <cell r="B4881">
            <v>1</v>
          </cell>
        </row>
        <row r="4882">
          <cell r="A4882" t="str">
            <v>78461471</v>
          </cell>
          <cell r="B4882">
            <v>10</v>
          </cell>
        </row>
        <row r="4883">
          <cell r="A4883" t="str">
            <v>78462532</v>
          </cell>
          <cell r="B4883">
            <v>5</v>
          </cell>
        </row>
        <row r="4884">
          <cell r="A4884" t="str">
            <v>78463838</v>
          </cell>
          <cell r="B4884">
            <v>4</v>
          </cell>
        </row>
        <row r="4885">
          <cell r="A4885" t="str">
            <v>78464326</v>
          </cell>
          <cell r="B4885">
            <v>20</v>
          </cell>
        </row>
        <row r="4886">
          <cell r="A4886" t="str">
            <v>78548283</v>
          </cell>
          <cell r="B4886">
            <v>7</v>
          </cell>
        </row>
        <row r="4887">
          <cell r="A4887" t="str">
            <v>78802940</v>
          </cell>
          <cell r="B4887">
            <v>1</v>
          </cell>
        </row>
        <row r="4888">
          <cell r="A4888" t="str">
            <v>78968559</v>
          </cell>
          <cell r="B4888">
            <v>3</v>
          </cell>
        </row>
        <row r="4889">
          <cell r="A4889" t="str">
            <v>79030978</v>
          </cell>
          <cell r="B4889">
            <v>9</v>
          </cell>
        </row>
        <row r="4890">
          <cell r="A4890" t="str">
            <v>79054034</v>
          </cell>
          <cell r="B4890">
            <v>3</v>
          </cell>
        </row>
        <row r="4891">
          <cell r="A4891" t="str">
            <v>79462701</v>
          </cell>
          <cell r="B4891">
            <v>1</v>
          </cell>
        </row>
        <row r="4892">
          <cell r="A4892" t="str">
            <v>79545127</v>
          </cell>
          <cell r="B4892">
            <v>67</v>
          </cell>
        </row>
        <row r="4893">
          <cell r="A4893" t="str">
            <v>79787707</v>
          </cell>
          <cell r="B4893">
            <v>5</v>
          </cell>
        </row>
        <row r="4894">
          <cell r="A4894" t="str">
            <v>80014934</v>
          </cell>
          <cell r="B4894">
            <v>7</v>
          </cell>
        </row>
        <row r="4895">
          <cell r="A4895" t="str">
            <v>80026003</v>
          </cell>
          <cell r="B4895">
            <v>11</v>
          </cell>
        </row>
        <row r="4896">
          <cell r="A4896" t="str">
            <v>80040827</v>
          </cell>
          <cell r="B4896">
            <v>1</v>
          </cell>
        </row>
        <row r="4897">
          <cell r="A4897" t="str">
            <v>80045801</v>
          </cell>
          <cell r="B4897">
            <v>3</v>
          </cell>
        </row>
        <row r="4898">
          <cell r="A4898" t="str">
            <v>80063345</v>
          </cell>
          <cell r="B4898">
            <v>9</v>
          </cell>
        </row>
        <row r="4899">
          <cell r="A4899" t="str">
            <v>80070069</v>
          </cell>
          <cell r="B4899">
            <v>2</v>
          </cell>
        </row>
        <row r="4900">
          <cell r="A4900" t="str">
            <v>80076206</v>
          </cell>
          <cell r="B4900">
            <v>10</v>
          </cell>
        </row>
        <row r="4901">
          <cell r="A4901" t="str">
            <v>80098522</v>
          </cell>
          <cell r="B4901">
            <v>2</v>
          </cell>
        </row>
        <row r="4902">
          <cell r="A4902" t="str">
            <v>80123592</v>
          </cell>
          <cell r="B4902">
            <v>8</v>
          </cell>
        </row>
        <row r="4903">
          <cell r="A4903" t="str">
            <v>80129300</v>
          </cell>
          <cell r="B4903">
            <v>2</v>
          </cell>
        </row>
        <row r="4904">
          <cell r="A4904" t="str">
            <v>80140690</v>
          </cell>
          <cell r="B4904">
            <v>1</v>
          </cell>
        </row>
        <row r="4905">
          <cell r="A4905" t="str">
            <v>80151955</v>
          </cell>
          <cell r="B4905">
            <v>1</v>
          </cell>
        </row>
        <row r="4906">
          <cell r="A4906" t="str">
            <v>80177768</v>
          </cell>
          <cell r="B4906">
            <v>2</v>
          </cell>
        </row>
        <row r="4907">
          <cell r="A4907" t="str">
            <v>80181891</v>
          </cell>
          <cell r="B4907">
            <v>14</v>
          </cell>
        </row>
        <row r="4908">
          <cell r="A4908" t="str">
            <v>80192641</v>
          </cell>
          <cell r="B4908">
            <v>16</v>
          </cell>
        </row>
        <row r="4909">
          <cell r="A4909" t="str">
            <v>80196462</v>
          </cell>
          <cell r="B4909">
            <v>18</v>
          </cell>
        </row>
        <row r="4910">
          <cell r="A4910" t="str">
            <v>80212292</v>
          </cell>
          <cell r="B4910">
            <v>7</v>
          </cell>
        </row>
        <row r="4911">
          <cell r="A4911" t="str">
            <v>80234683</v>
          </cell>
          <cell r="B4911">
            <v>12</v>
          </cell>
        </row>
        <row r="4912">
          <cell r="A4912" t="str">
            <v>80237791</v>
          </cell>
          <cell r="B4912">
            <v>5</v>
          </cell>
        </row>
        <row r="4913">
          <cell r="A4913" t="str">
            <v>80252320</v>
          </cell>
          <cell r="B4913">
            <v>1</v>
          </cell>
        </row>
        <row r="4914">
          <cell r="A4914" t="str">
            <v>80257502</v>
          </cell>
          <cell r="B4914">
            <v>5</v>
          </cell>
        </row>
        <row r="4915">
          <cell r="A4915" t="str">
            <v>80258644</v>
          </cell>
          <cell r="B4915">
            <v>7</v>
          </cell>
        </row>
        <row r="4916">
          <cell r="A4916" t="str">
            <v>80261906</v>
          </cell>
          <cell r="B4916">
            <v>9</v>
          </cell>
        </row>
        <row r="4917">
          <cell r="A4917" t="str">
            <v>80263904</v>
          </cell>
          <cell r="B4917">
            <v>13</v>
          </cell>
        </row>
        <row r="4918">
          <cell r="A4918" t="str">
            <v>80274346</v>
          </cell>
          <cell r="B4918">
            <v>7</v>
          </cell>
        </row>
        <row r="4919">
          <cell r="A4919" t="str">
            <v>80283374</v>
          </cell>
          <cell r="B4919">
            <v>1</v>
          </cell>
        </row>
        <row r="4920">
          <cell r="A4920" t="str">
            <v>80295883</v>
          </cell>
          <cell r="B4920">
            <v>1</v>
          </cell>
        </row>
        <row r="4921">
          <cell r="A4921" t="str">
            <v>80310430</v>
          </cell>
          <cell r="B4921">
            <v>14</v>
          </cell>
        </row>
        <row r="4922">
          <cell r="A4922" t="str">
            <v>80314386</v>
          </cell>
          <cell r="B4922">
            <v>19</v>
          </cell>
        </row>
        <row r="4923">
          <cell r="A4923" t="str">
            <v>80335952</v>
          </cell>
          <cell r="B4923">
            <v>3</v>
          </cell>
        </row>
        <row r="4924">
          <cell r="A4924" t="str">
            <v>80339982</v>
          </cell>
          <cell r="B4924">
            <v>6</v>
          </cell>
        </row>
        <row r="4925">
          <cell r="A4925" t="str">
            <v>80355802</v>
          </cell>
          <cell r="B4925">
            <v>1</v>
          </cell>
        </row>
        <row r="4926">
          <cell r="A4926" t="str">
            <v>80359758</v>
          </cell>
          <cell r="B4926">
            <v>3</v>
          </cell>
        </row>
        <row r="4927">
          <cell r="A4927" t="str">
            <v>80364554</v>
          </cell>
          <cell r="B4927">
            <v>3</v>
          </cell>
        </row>
        <row r="4928">
          <cell r="A4928" t="str">
            <v>80374968</v>
          </cell>
          <cell r="B4928">
            <v>19</v>
          </cell>
        </row>
        <row r="4929">
          <cell r="A4929" t="str">
            <v>80375249</v>
          </cell>
          <cell r="B4929">
            <v>2</v>
          </cell>
        </row>
        <row r="4930">
          <cell r="A4930" t="str">
            <v>80388711</v>
          </cell>
          <cell r="B4930">
            <v>6</v>
          </cell>
        </row>
        <row r="4931">
          <cell r="A4931" t="str">
            <v>80416338</v>
          </cell>
          <cell r="B4931">
            <v>6</v>
          </cell>
        </row>
        <row r="4932">
          <cell r="A4932" t="str">
            <v>80433414</v>
          </cell>
          <cell r="B4932">
            <v>14</v>
          </cell>
        </row>
        <row r="4933">
          <cell r="A4933" t="str">
            <v>80446454</v>
          </cell>
          <cell r="B4933">
            <v>1</v>
          </cell>
        </row>
        <row r="4934">
          <cell r="A4934" t="str">
            <v>80447661</v>
          </cell>
          <cell r="B4934">
            <v>23</v>
          </cell>
        </row>
        <row r="4935">
          <cell r="A4935" t="str">
            <v>80454928</v>
          </cell>
          <cell r="B4935">
            <v>5</v>
          </cell>
        </row>
        <row r="4936">
          <cell r="A4936" t="str">
            <v>80466812</v>
          </cell>
          <cell r="B4936">
            <v>14</v>
          </cell>
        </row>
        <row r="4937">
          <cell r="A4937" t="str">
            <v>80487575</v>
          </cell>
          <cell r="B4937">
            <v>18</v>
          </cell>
        </row>
        <row r="4938">
          <cell r="A4938" t="str">
            <v>80516705</v>
          </cell>
          <cell r="B4938">
            <v>2</v>
          </cell>
        </row>
        <row r="4939">
          <cell r="A4939" t="str">
            <v>80518868</v>
          </cell>
          <cell r="B4939">
            <v>4</v>
          </cell>
        </row>
        <row r="4940">
          <cell r="A4940" t="str">
            <v>80521787</v>
          </cell>
          <cell r="B4940">
            <v>8</v>
          </cell>
        </row>
        <row r="4941">
          <cell r="A4941" t="str">
            <v>80522933</v>
          </cell>
          <cell r="B4941">
            <v>29</v>
          </cell>
        </row>
        <row r="4942">
          <cell r="A4942" t="str">
            <v>80530525</v>
          </cell>
          <cell r="B4942">
            <v>19</v>
          </cell>
        </row>
        <row r="4943">
          <cell r="A4943" t="str">
            <v>80537847</v>
          </cell>
          <cell r="B4943">
            <v>9</v>
          </cell>
        </row>
        <row r="4944">
          <cell r="A4944" t="str">
            <v>80542792</v>
          </cell>
          <cell r="B4944">
            <v>1</v>
          </cell>
        </row>
        <row r="4945">
          <cell r="A4945" t="str">
            <v>80567992</v>
          </cell>
          <cell r="B4945">
            <v>1</v>
          </cell>
        </row>
        <row r="4946">
          <cell r="A4946" t="str">
            <v>80570415</v>
          </cell>
          <cell r="B4946">
            <v>22</v>
          </cell>
        </row>
        <row r="4947">
          <cell r="A4947" t="str">
            <v>80578603</v>
          </cell>
          <cell r="B4947">
            <v>5</v>
          </cell>
        </row>
        <row r="4948">
          <cell r="A4948" t="str">
            <v>80592236</v>
          </cell>
          <cell r="B4948">
            <v>6</v>
          </cell>
        </row>
        <row r="4949">
          <cell r="A4949" t="str">
            <v>80594296</v>
          </cell>
          <cell r="B4949">
            <v>1</v>
          </cell>
        </row>
        <row r="4950">
          <cell r="A4950" t="str">
            <v>80600923</v>
          </cell>
          <cell r="B4950">
            <v>4</v>
          </cell>
        </row>
        <row r="4951">
          <cell r="A4951" t="str">
            <v>80601081</v>
          </cell>
          <cell r="B4951">
            <v>18</v>
          </cell>
        </row>
        <row r="4952">
          <cell r="A4952" t="str">
            <v>80604344</v>
          </cell>
          <cell r="B4952">
            <v>32</v>
          </cell>
        </row>
        <row r="4953">
          <cell r="A4953" t="str">
            <v>80609965</v>
          </cell>
          <cell r="B4953">
            <v>64</v>
          </cell>
        </row>
        <row r="4954">
          <cell r="A4954" t="str">
            <v>80620212</v>
          </cell>
          <cell r="B4954">
            <v>3</v>
          </cell>
        </row>
        <row r="4955">
          <cell r="A4955" t="str">
            <v>80635911</v>
          </cell>
          <cell r="B4955">
            <v>9</v>
          </cell>
        </row>
        <row r="4956">
          <cell r="A4956" t="str">
            <v>80643093</v>
          </cell>
          <cell r="B4956">
            <v>58</v>
          </cell>
        </row>
        <row r="4957">
          <cell r="A4957" t="str">
            <v>80650522</v>
          </cell>
          <cell r="B4957">
            <v>8</v>
          </cell>
        </row>
        <row r="4958">
          <cell r="A4958" t="str">
            <v>80652551</v>
          </cell>
          <cell r="B4958">
            <v>1</v>
          </cell>
        </row>
        <row r="4959">
          <cell r="A4959" t="str">
            <v>80669349</v>
          </cell>
          <cell r="B4959">
            <v>236</v>
          </cell>
        </row>
        <row r="4960">
          <cell r="A4960" t="str">
            <v>80673644</v>
          </cell>
          <cell r="B4960">
            <v>4</v>
          </cell>
        </row>
        <row r="4961">
          <cell r="A4961" t="str">
            <v>80683932</v>
          </cell>
          <cell r="B4961">
            <v>3</v>
          </cell>
        </row>
        <row r="4962">
          <cell r="A4962" t="str">
            <v>80689394</v>
          </cell>
          <cell r="B4962">
            <v>14</v>
          </cell>
        </row>
        <row r="4963">
          <cell r="A4963" t="str">
            <v>81045864</v>
          </cell>
          <cell r="B4963">
            <v>9</v>
          </cell>
        </row>
        <row r="4964">
          <cell r="A4964" t="str">
            <v>81154167</v>
          </cell>
          <cell r="B4964">
            <v>7</v>
          </cell>
        </row>
        <row r="4965">
          <cell r="A4965" t="str">
            <v>81424133</v>
          </cell>
          <cell r="B4965">
            <v>2</v>
          </cell>
        </row>
        <row r="4966">
          <cell r="A4966" t="str">
            <v>90062639</v>
          </cell>
          <cell r="B4966">
            <v>82</v>
          </cell>
        </row>
        <row r="4967">
          <cell r="A4967" t="str">
            <v>90323853</v>
          </cell>
          <cell r="B4967">
            <v>6</v>
          </cell>
        </row>
        <row r="4968">
          <cell r="A4968" t="str">
            <v>Total general</v>
          </cell>
          <cell r="B4968">
            <v>61428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tro"/>
      <sheetName val="Rank"/>
      <sheetName val="Departamento"/>
      <sheetName val="FINAL"/>
      <sheetName val="Resumen"/>
    </sheetNames>
    <sheetDataSet>
      <sheetData sheetId="0"/>
      <sheetData sheetId="1">
        <row r="1">
          <cell r="B1" t="str">
            <v>HC</v>
          </cell>
          <cell r="C1" t="str">
            <v>Avance Eqv Total</v>
          </cell>
          <cell r="D1" t="str">
            <v>Ganadores Total</v>
          </cell>
          <cell r="E1" t="str">
            <v>Rank_Depa</v>
          </cell>
        </row>
        <row r="2">
          <cell r="B2" t="str">
            <v>77270717</v>
          </cell>
          <cell r="C2">
            <v>1.0880000000000001</v>
          </cell>
          <cell r="D2">
            <v>1</v>
          </cell>
          <cell r="E2">
            <v>1</v>
          </cell>
        </row>
        <row r="3">
          <cell r="B3" t="str">
            <v>02818533</v>
          </cell>
          <cell r="C3">
            <v>1.0910931174089069</v>
          </cell>
          <cell r="D3">
            <v>1</v>
          </cell>
          <cell r="E3">
            <v>4</v>
          </cell>
        </row>
        <row r="4">
          <cell r="B4" t="str">
            <v>43954553</v>
          </cell>
          <cell r="C4">
            <v>1.2591240875912408</v>
          </cell>
          <cell r="D4">
            <v>1</v>
          </cell>
          <cell r="E4">
            <v>3</v>
          </cell>
        </row>
        <row r="5">
          <cell r="B5" t="str">
            <v>19337867</v>
          </cell>
          <cell r="C5">
            <v>2.5282051282051281</v>
          </cell>
          <cell r="D5">
            <v>1</v>
          </cell>
          <cell r="E5">
            <v>1</v>
          </cell>
        </row>
        <row r="6">
          <cell r="B6" t="str">
            <v>43779743</v>
          </cell>
          <cell r="C6">
            <v>1.3278688524590163</v>
          </cell>
          <cell r="D6">
            <v>1</v>
          </cell>
          <cell r="E6">
            <v>2</v>
          </cell>
        </row>
        <row r="7">
          <cell r="B7" t="str">
            <v>29298274</v>
          </cell>
          <cell r="C7">
            <v>2.196629213483146</v>
          </cell>
          <cell r="D7">
            <v>1</v>
          </cell>
          <cell r="E7">
            <v>2</v>
          </cell>
        </row>
        <row r="8">
          <cell r="B8" t="str">
            <v>43002979</v>
          </cell>
          <cell r="C8">
            <v>1.1857749469214438</v>
          </cell>
          <cell r="D8">
            <v>1</v>
          </cell>
          <cell r="E8">
            <v>13</v>
          </cell>
        </row>
        <row r="9">
          <cell r="B9" t="str">
            <v>43604548</v>
          </cell>
          <cell r="C9">
            <v>1.1741573033707866</v>
          </cell>
          <cell r="D9">
            <v>1</v>
          </cell>
          <cell r="E9">
            <v>1</v>
          </cell>
        </row>
        <row r="10">
          <cell r="B10" t="str">
            <v>16714075</v>
          </cell>
          <cell r="C10">
            <v>1.212962962962963</v>
          </cell>
          <cell r="D10">
            <v>1</v>
          </cell>
          <cell r="E10">
            <v>1</v>
          </cell>
        </row>
        <row r="11">
          <cell r="B11" t="str">
            <v>40697657</v>
          </cell>
          <cell r="C11">
            <v>1.5014836795252227</v>
          </cell>
          <cell r="D11">
            <v>1</v>
          </cell>
          <cell r="E11">
            <v>5</v>
          </cell>
        </row>
        <row r="12">
          <cell r="B12" t="str">
            <v>71743574</v>
          </cell>
          <cell r="C12">
            <v>1.7230359520639147</v>
          </cell>
          <cell r="D12">
            <v>1</v>
          </cell>
          <cell r="E12">
            <v>1</v>
          </cell>
        </row>
        <row r="13">
          <cell r="B13" t="str">
            <v>42705124</v>
          </cell>
          <cell r="C13">
            <v>1.1691842900302114</v>
          </cell>
          <cell r="D13">
            <v>1</v>
          </cell>
          <cell r="E13">
            <v>14</v>
          </cell>
        </row>
        <row r="14">
          <cell r="B14" t="str">
            <v>01558664</v>
          </cell>
          <cell r="C14">
            <v>1.3384615384615384</v>
          </cell>
          <cell r="D14">
            <v>1</v>
          </cell>
          <cell r="E14">
            <v>1</v>
          </cell>
        </row>
        <row r="15">
          <cell r="B15" t="str">
            <v>47870190</v>
          </cell>
          <cell r="C15">
            <v>1.1945701357466063</v>
          </cell>
          <cell r="D15">
            <v>1</v>
          </cell>
          <cell r="E15">
            <v>3</v>
          </cell>
        </row>
        <row r="16">
          <cell r="B16" t="str">
            <v>76249875</v>
          </cell>
          <cell r="C16">
            <v>2.7243107769423558</v>
          </cell>
          <cell r="D16">
            <v>1</v>
          </cell>
          <cell r="E16">
            <v>1</v>
          </cell>
        </row>
        <row r="17">
          <cell r="B17" t="str">
            <v>20030820</v>
          </cell>
          <cell r="C17">
            <v>1.2491694352159468</v>
          </cell>
          <cell r="D17">
            <v>1</v>
          </cell>
          <cell r="E17">
            <v>11</v>
          </cell>
        </row>
        <row r="18">
          <cell r="B18" t="str">
            <v>72936168</v>
          </cell>
          <cell r="C18">
            <v>1.5274949083503055</v>
          </cell>
          <cell r="D18">
            <v>1</v>
          </cell>
          <cell r="E18">
            <v>1</v>
          </cell>
        </row>
        <row r="19">
          <cell r="B19" t="str">
            <v>10528909</v>
          </cell>
          <cell r="C19">
            <v>1.0783410138248848</v>
          </cell>
          <cell r="D19">
            <v>1</v>
          </cell>
          <cell r="E19">
            <v>15</v>
          </cell>
        </row>
        <row r="20">
          <cell r="B20" t="str">
            <v>77476466</v>
          </cell>
          <cell r="C20">
            <v>1.1975308641975309</v>
          </cell>
          <cell r="D20">
            <v>1</v>
          </cell>
          <cell r="E20">
            <v>12</v>
          </cell>
        </row>
        <row r="21">
          <cell r="B21" t="str">
            <v>45345662</v>
          </cell>
          <cell r="C21">
            <v>1.5822784810126582</v>
          </cell>
          <cell r="D21">
            <v>1</v>
          </cell>
          <cell r="E21">
            <v>1</v>
          </cell>
        </row>
        <row r="22">
          <cell r="B22" t="str">
            <v>76318521</v>
          </cell>
          <cell r="C22">
            <v>1.234920634920635</v>
          </cell>
          <cell r="D22">
            <v>1</v>
          </cell>
          <cell r="E22">
            <v>1</v>
          </cell>
        </row>
        <row r="23">
          <cell r="B23" t="str">
            <v>18216655</v>
          </cell>
          <cell r="C23">
            <v>1.8449848024316109</v>
          </cell>
          <cell r="D23">
            <v>1</v>
          </cell>
          <cell r="E23">
            <v>2</v>
          </cell>
        </row>
        <row r="24">
          <cell r="B24" t="str">
            <v>45313046</v>
          </cell>
          <cell r="C24">
            <v>1.3604436229205175</v>
          </cell>
          <cell r="D24">
            <v>1</v>
          </cell>
          <cell r="E24">
            <v>7</v>
          </cell>
        </row>
        <row r="25">
          <cell r="B25" t="str">
            <v>40751488</v>
          </cell>
          <cell r="C25">
            <v>1.8392857142857142</v>
          </cell>
          <cell r="D25">
            <v>1</v>
          </cell>
          <cell r="E25">
            <v>2</v>
          </cell>
        </row>
        <row r="26">
          <cell r="B26" t="str">
            <v>41220451</v>
          </cell>
          <cell r="C26">
            <v>1.7444444444444445</v>
          </cell>
          <cell r="D26">
            <v>1</v>
          </cell>
          <cell r="E26">
            <v>3</v>
          </cell>
        </row>
        <row r="27">
          <cell r="B27" t="str">
            <v>41190222</v>
          </cell>
          <cell r="C27">
            <v>1.3498583569405098</v>
          </cell>
          <cell r="D27">
            <v>1</v>
          </cell>
          <cell r="E27">
            <v>3</v>
          </cell>
        </row>
        <row r="28">
          <cell r="B28" t="str">
            <v>44781265</v>
          </cell>
          <cell r="C28">
            <v>1.2735849056603774</v>
          </cell>
          <cell r="D28">
            <v>1</v>
          </cell>
          <cell r="E28">
            <v>2</v>
          </cell>
        </row>
        <row r="29">
          <cell r="B29" t="str">
            <v>29586787</v>
          </cell>
          <cell r="C29">
            <v>2.4370078740157481</v>
          </cell>
          <cell r="D29">
            <v>1</v>
          </cell>
          <cell r="E29">
            <v>1</v>
          </cell>
        </row>
        <row r="30">
          <cell r="B30" t="str">
            <v>007372042</v>
          </cell>
          <cell r="C30">
            <v>1.5504885993485342</v>
          </cell>
          <cell r="D30">
            <v>1</v>
          </cell>
          <cell r="E30">
            <v>4</v>
          </cell>
        </row>
        <row r="31">
          <cell r="B31" t="str">
            <v>15745895</v>
          </cell>
          <cell r="C31">
            <v>1.3518518518518519</v>
          </cell>
          <cell r="D31">
            <v>1</v>
          </cell>
          <cell r="E31">
            <v>9</v>
          </cell>
        </row>
        <row r="32">
          <cell r="B32" t="str">
            <v>42511189</v>
          </cell>
          <cell r="C32">
            <v>2.1851851851851851</v>
          </cell>
          <cell r="D32">
            <v>1</v>
          </cell>
          <cell r="E32">
            <v>1</v>
          </cell>
        </row>
        <row r="33">
          <cell r="B33" t="str">
            <v>41667737</v>
          </cell>
          <cell r="C33">
            <v>1.1666666666666667</v>
          </cell>
          <cell r="D33">
            <v>1</v>
          </cell>
          <cell r="E33">
            <v>2</v>
          </cell>
        </row>
        <row r="34">
          <cell r="B34" t="str">
            <v>73079318</v>
          </cell>
          <cell r="C34">
            <v>1.331764705882353</v>
          </cell>
          <cell r="D34">
            <v>1</v>
          </cell>
          <cell r="E34">
            <v>2</v>
          </cell>
        </row>
        <row r="35">
          <cell r="B35" t="str">
            <v>40199518</v>
          </cell>
          <cell r="C35">
            <v>1.4966666666666666</v>
          </cell>
          <cell r="D35">
            <v>1</v>
          </cell>
          <cell r="E35">
            <v>6</v>
          </cell>
        </row>
        <row r="36">
          <cell r="B36" t="str">
            <v>42381005</v>
          </cell>
          <cell r="C36">
            <v>1.3367158671586716</v>
          </cell>
          <cell r="D36">
            <v>1</v>
          </cell>
          <cell r="E36">
            <v>10</v>
          </cell>
        </row>
        <row r="37">
          <cell r="B37" t="str">
            <v>77245013</v>
          </cell>
          <cell r="C37">
            <v>1.2100840336134453</v>
          </cell>
          <cell r="D37">
            <v>1</v>
          </cell>
          <cell r="E37">
            <v>2</v>
          </cell>
        </row>
        <row r="38">
          <cell r="B38" t="str">
            <v>46573618</v>
          </cell>
          <cell r="C38">
            <v>1.1691648822269807</v>
          </cell>
          <cell r="D38">
            <v>1</v>
          </cell>
          <cell r="E38">
            <v>2</v>
          </cell>
        </row>
        <row r="39">
          <cell r="B39" t="str">
            <v>15649051</v>
          </cell>
          <cell r="C39">
            <v>1.3601359003397508</v>
          </cell>
          <cell r="D39">
            <v>1</v>
          </cell>
          <cell r="E39">
            <v>8</v>
          </cell>
        </row>
        <row r="40">
          <cell r="B40" t="str">
            <v>48322412</v>
          </cell>
          <cell r="C40">
            <v>1.3458213256484151</v>
          </cell>
          <cell r="D40">
            <v>1</v>
          </cell>
          <cell r="E40">
            <v>2</v>
          </cell>
        </row>
        <row r="41">
          <cell r="B41" t="str">
            <v>29447419</v>
          </cell>
          <cell r="C41">
            <v>1.2985781990521328</v>
          </cell>
          <cell r="D41">
            <v>1</v>
          </cell>
          <cell r="E41">
            <v>3</v>
          </cell>
        </row>
        <row r="42">
          <cell r="B42" t="str">
            <v>43707128</v>
          </cell>
          <cell r="C42">
            <v>1.252513966480447</v>
          </cell>
          <cell r="D42">
            <v>1</v>
          </cell>
          <cell r="E42">
            <v>1</v>
          </cell>
        </row>
        <row r="43">
          <cell r="B43" t="str">
            <v>49014762</v>
          </cell>
          <cell r="C43">
            <v>1.6126331811263319</v>
          </cell>
          <cell r="D43">
            <v>1</v>
          </cell>
          <cell r="E43">
            <v>1</v>
          </cell>
        </row>
      </sheetData>
      <sheetData sheetId="2">
        <row r="1">
          <cell r="A1" t="str">
            <v>DEMPARTAMENTO</v>
          </cell>
          <cell r="B1" t="str">
            <v>Gandores</v>
          </cell>
        </row>
        <row r="2">
          <cell r="A2" t="str">
            <v>LIMA</v>
          </cell>
          <cell r="B2">
            <v>6</v>
          </cell>
        </row>
        <row r="3">
          <cell r="A3" t="str">
            <v>UCAYALI</v>
          </cell>
          <cell r="B3">
            <v>1</v>
          </cell>
        </row>
        <row r="4">
          <cell r="A4" t="str">
            <v>LAMBAYEQUE</v>
          </cell>
          <cell r="B4">
            <v>2</v>
          </cell>
        </row>
        <row r="5">
          <cell r="A5" t="str">
            <v>CAJAMARCA</v>
          </cell>
          <cell r="B5">
            <v>2</v>
          </cell>
        </row>
        <row r="6">
          <cell r="A6" t="str">
            <v>ICA</v>
          </cell>
          <cell r="B6">
            <v>2</v>
          </cell>
        </row>
        <row r="7">
          <cell r="A7" t="str">
            <v>SAN MARTIN</v>
          </cell>
          <cell r="B7">
            <v>1</v>
          </cell>
        </row>
        <row r="8">
          <cell r="A8" t="str">
            <v>PIURA</v>
          </cell>
          <cell r="B8">
            <v>2</v>
          </cell>
        </row>
        <row r="9">
          <cell r="A9" t="str">
            <v>AREQUIPA</v>
          </cell>
          <cell r="B9">
            <v>2</v>
          </cell>
        </row>
        <row r="10">
          <cell r="A10" t="str">
            <v>LA LIBERTAD</v>
          </cell>
          <cell r="B10">
            <v>2</v>
          </cell>
        </row>
        <row r="11">
          <cell r="A11" t="str">
            <v>HUANUCO</v>
          </cell>
          <cell r="B11">
            <v>1</v>
          </cell>
        </row>
        <row r="12">
          <cell r="A12" t="str">
            <v>PUNO</v>
          </cell>
          <cell r="B12">
            <v>1</v>
          </cell>
        </row>
        <row r="13">
          <cell r="A13" t="str">
            <v>CUSCO</v>
          </cell>
          <cell r="B13">
            <v>2</v>
          </cell>
        </row>
        <row r="14">
          <cell r="A14" t="str">
            <v>ANCASH</v>
          </cell>
          <cell r="B14">
            <v>1</v>
          </cell>
        </row>
        <row r="15">
          <cell r="A15" t="str">
            <v>JUNIN</v>
          </cell>
          <cell r="B15">
            <v>2</v>
          </cell>
        </row>
        <row r="16">
          <cell r="A16" t="str">
            <v>LORETO</v>
          </cell>
          <cell r="B16">
            <v>1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B462-29E4-4017-B23D-CCEF657218C7}">
  <dimension ref="A1:AQ212"/>
  <sheetViews>
    <sheetView tabSelected="1" workbookViewId="0"/>
  </sheetViews>
  <sheetFormatPr baseColWidth="10" defaultRowHeight="14.4" x14ac:dyDescent="0.3"/>
  <sheetData>
    <row r="1" spans="1:43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3" t="s">
        <v>6</v>
      </c>
      <c r="M1" s="1" t="s">
        <v>7</v>
      </c>
      <c r="N1" s="1" t="s">
        <v>11</v>
      </c>
      <c r="O1" s="1" t="s">
        <v>12</v>
      </c>
      <c r="P1" s="1" t="s">
        <v>13</v>
      </c>
      <c r="Q1" s="5" t="s">
        <v>14</v>
      </c>
      <c r="R1" s="6" t="s">
        <v>15</v>
      </c>
      <c r="S1" s="5" t="s">
        <v>16</v>
      </c>
      <c r="T1" s="6" t="s">
        <v>17</v>
      </c>
      <c r="U1" s="5" t="s">
        <v>18</v>
      </c>
      <c r="V1" s="6" t="s">
        <v>19</v>
      </c>
      <c r="W1" s="5" t="s">
        <v>20</v>
      </c>
      <c r="X1" s="6" t="s">
        <v>21</v>
      </c>
      <c r="Y1" s="7" t="s">
        <v>22</v>
      </c>
      <c r="Z1" s="7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L1" s="8" t="s">
        <v>35</v>
      </c>
      <c r="AM1" s="8" t="s">
        <v>36</v>
      </c>
      <c r="AN1" s="8" t="s">
        <v>37</v>
      </c>
      <c r="AO1" s="9" t="s">
        <v>38</v>
      </c>
      <c r="AP1" s="8" t="s">
        <v>39</v>
      </c>
      <c r="AQ1" s="9" t="s">
        <v>40</v>
      </c>
    </row>
    <row r="2" spans="1:43" x14ac:dyDescent="0.3">
      <c r="A2" t="s">
        <v>41</v>
      </c>
      <c r="B2" t="s">
        <v>42</v>
      </c>
      <c r="C2" t="s">
        <v>43</v>
      </c>
      <c r="D2" t="s">
        <v>44</v>
      </c>
      <c r="E2" s="10" t="s">
        <v>45</v>
      </c>
      <c r="F2" s="10" t="s">
        <v>46</v>
      </c>
      <c r="G2" s="11">
        <v>76</v>
      </c>
      <c r="H2" s="12">
        <v>134</v>
      </c>
      <c r="I2" s="12">
        <f t="shared" ref="I2:I65" si="0">MAX(H2,G2)</f>
        <v>134</v>
      </c>
      <c r="J2" s="13">
        <f t="shared" ref="J2:J10" si="1">ROUND(I2*1.2,0)</f>
        <v>161</v>
      </c>
      <c r="K2" s="14">
        <f t="shared" ref="K2:K65" si="2">ROUND(J2/31*28,0)</f>
        <v>145</v>
      </c>
      <c r="L2" s="15">
        <v>2</v>
      </c>
      <c r="M2" s="12">
        <v>4</v>
      </c>
      <c r="N2" s="12">
        <f t="shared" ref="N2:N65" si="3">MAX(M2,L2)</f>
        <v>4</v>
      </c>
      <c r="O2" s="16">
        <f>ROUND(N2*1.2,0)</f>
        <v>5</v>
      </c>
      <c r="P2" s="16">
        <f t="shared" ref="P2:P6" si="4">ROUND(O2/31*28,0)</f>
        <v>5</v>
      </c>
      <c r="Q2" s="15">
        <f t="shared" ref="Q2:Q65" si="5">J2-H2</f>
        <v>27</v>
      </c>
      <c r="R2" s="12">
        <f t="shared" ref="R2:R65" si="6">K2-H2</f>
        <v>11</v>
      </c>
      <c r="S2" s="12">
        <f t="shared" ref="S2:S65" si="7">O2-M2</f>
        <v>1</v>
      </c>
      <c r="T2" s="12">
        <f t="shared" ref="T2:T65" si="8">P2-M2</f>
        <v>1</v>
      </c>
      <c r="U2" s="17">
        <f t="shared" ref="U2:U65" si="9">(J2/H2)-1</f>
        <v>0.20149253731343286</v>
      </c>
      <c r="V2" s="17">
        <f t="shared" ref="V2:V65" si="10">(K2/H2)-1</f>
        <v>8.2089552238805874E-2</v>
      </c>
      <c r="W2" s="17">
        <f t="shared" ref="W2:W65" si="11">IFERROR((O2/M2)-1,"-")</f>
        <v>0.25</v>
      </c>
      <c r="X2" s="17">
        <f t="shared" ref="X2:X65" si="12">IFERROR((P2/M2)-1,0)</f>
        <v>0.25</v>
      </c>
      <c r="Y2" s="18">
        <f>+IFERROR(VLOOKUP(A2,[1]Hoja1!$A:$B,2,0),0)</f>
        <v>47</v>
      </c>
      <c r="Z2" s="18">
        <f>+IFERROR(VLOOKUP(A2,[1]Hoja1!$D:$E,2,0),0)</f>
        <v>0</v>
      </c>
      <c r="AA2" s="18">
        <f>+ROUND((Y2*31)/11,0)</f>
        <v>132</v>
      </c>
      <c r="AB2" s="18">
        <f>+ROUND((Z2*31)/11,0)</f>
        <v>0</v>
      </c>
      <c r="AC2">
        <f>+IF(AA2&gt;=J2,1,0)</f>
        <v>0</v>
      </c>
      <c r="AD2">
        <f>+IF(AB2&gt;=O2,1,0)</f>
        <v>0</v>
      </c>
      <c r="AE2">
        <f>+IF(AC2+AD2=2,1,0)</f>
        <v>0</v>
      </c>
      <c r="AF2" s="17">
        <f t="shared" ref="AF2:AF27" si="13">+(AA2+(5*AB2))/(J2+(5*O2))</f>
        <v>0.70967741935483875</v>
      </c>
      <c r="AG2" s="17">
        <f>+AA2/J2</f>
        <v>0.81987577639751552</v>
      </c>
      <c r="AH2" s="18">
        <f>+ROUND((Y2*59)/11,0)</f>
        <v>252</v>
      </c>
      <c r="AI2" s="18">
        <f>+ROUND((Z2*59)/11,0)</f>
        <v>0</v>
      </c>
      <c r="AJ2">
        <f>+IF(AH2&gt;=(J2+K2),1,0)</f>
        <v>0</v>
      </c>
      <c r="AK2">
        <f>+IF(AI2&gt;=(O2+P2),1,0)</f>
        <v>0</v>
      </c>
      <c r="AL2">
        <f>+IF(AJ2+AK2=2,1,0)</f>
        <v>0</v>
      </c>
      <c r="AM2" s="17">
        <f>+(AH2+(5*AI2))/((J2+K2)+(5*(O2+P2)))</f>
        <v>0.7078651685393258</v>
      </c>
      <c r="AN2" s="17">
        <f>+AH2/(J2+K2)</f>
        <v>0.82352941176470584</v>
      </c>
      <c r="AO2" s="18" t="str">
        <f>+IFERROR(VLOOKUP(A2,[2]Rank!$B:$E,4,0),"No Ganador")</f>
        <v>No Ganador</v>
      </c>
      <c r="AP2" s="18">
        <f>+VLOOKUP(D2,[2]Departamento!$A$1:$B$16,2,0)</f>
        <v>6</v>
      </c>
      <c r="AQ2">
        <f>+IFERROR(IF(AO2&gt;AP2,0,1),0)</f>
        <v>0</v>
      </c>
    </row>
    <row r="3" spans="1:43" x14ac:dyDescent="0.3">
      <c r="A3" t="s">
        <v>47</v>
      </c>
      <c r="B3" t="s">
        <v>48</v>
      </c>
      <c r="C3" t="s">
        <v>43</v>
      </c>
      <c r="D3" t="s">
        <v>49</v>
      </c>
      <c r="E3" s="10" t="s">
        <v>50</v>
      </c>
      <c r="F3" s="10" t="s">
        <v>51</v>
      </c>
      <c r="G3" s="11">
        <v>98</v>
      </c>
      <c r="H3" s="12">
        <v>81</v>
      </c>
      <c r="I3" s="12">
        <f t="shared" si="0"/>
        <v>98</v>
      </c>
      <c r="J3" s="13">
        <f t="shared" si="1"/>
        <v>118</v>
      </c>
      <c r="K3" s="14">
        <f t="shared" si="2"/>
        <v>107</v>
      </c>
      <c r="L3" s="15">
        <v>0</v>
      </c>
      <c r="M3" s="12">
        <v>0</v>
      </c>
      <c r="N3" s="12">
        <f t="shared" si="3"/>
        <v>0</v>
      </c>
      <c r="O3" s="13">
        <v>1</v>
      </c>
      <c r="P3" s="16">
        <v>1</v>
      </c>
      <c r="Q3" s="15">
        <f t="shared" si="5"/>
        <v>37</v>
      </c>
      <c r="R3" s="12">
        <f t="shared" si="6"/>
        <v>26</v>
      </c>
      <c r="S3" s="12">
        <f t="shared" si="7"/>
        <v>1</v>
      </c>
      <c r="T3" s="12">
        <f t="shared" si="8"/>
        <v>1</v>
      </c>
      <c r="U3" s="17">
        <f t="shared" si="9"/>
        <v>0.45679012345679015</v>
      </c>
      <c r="V3" s="17">
        <f t="shared" si="10"/>
        <v>0.32098765432098775</v>
      </c>
      <c r="W3" s="17" t="str">
        <f t="shared" si="11"/>
        <v>-</v>
      </c>
      <c r="X3" s="17">
        <f t="shared" si="12"/>
        <v>0</v>
      </c>
      <c r="Y3" s="18">
        <f>+IFERROR(VLOOKUP(A3,[1]Hoja1!$A:$B,2,0),0)</f>
        <v>37</v>
      </c>
      <c r="Z3" s="18">
        <f>+IFERROR(VLOOKUP(A3,[1]Hoja1!$D:$E,2,0),0)</f>
        <v>0</v>
      </c>
      <c r="AA3" s="18">
        <f t="shared" ref="AA3:AB66" si="14">+ROUND((Y3*31)/11,0)</f>
        <v>104</v>
      </c>
      <c r="AB3" s="18">
        <f t="shared" si="14"/>
        <v>0</v>
      </c>
      <c r="AC3">
        <f t="shared" ref="AC3:AC66" si="15">+IF(AA3&gt;=J3,1,0)</f>
        <v>0</v>
      </c>
      <c r="AD3">
        <f t="shared" ref="AD3:AD66" si="16">+IF(AB3&gt;=O3,1,0)</f>
        <v>0</v>
      </c>
      <c r="AE3">
        <f t="shared" ref="AE3:AE66" si="17">+IF(AC3+AD3=2,1,0)</f>
        <v>0</v>
      </c>
      <c r="AF3" s="17">
        <f t="shared" si="13"/>
        <v>0.84552845528455289</v>
      </c>
      <c r="AG3" s="17">
        <f t="shared" ref="AG3:AG66" si="18">+AA3/J3</f>
        <v>0.88135593220338981</v>
      </c>
      <c r="AH3" s="18">
        <f t="shared" ref="AH3:AI66" si="19">+ROUND((Y3*59)/11,0)</f>
        <v>198</v>
      </c>
      <c r="AI3" s="18">
        <f t="shared" si="19"/>
        <v>0</v>
      </c>
      <c r="AJ3">
        <f t="shared" ref="AJ3:AJ66" si="20">+IF(AH3&gt;=(J3+K3),1,0)</f>
        <v>0</v>
      </c>
      <c r="AK3">
        <f t="shared" ref="AK3:AK66" si="21">+IF(AI3&gt;=(O3+P3),1,0)</f>
        <v>0</v>
      </c>
      <c r="AL3">
        <f t="shared" ref="AL3:AL66" si="22">+IF(AJ3+AK3=2,1,0)</f>
        <v>0</v>
      </c>
      <c r="AM3" s="17">
        <f t="shared" ref="AM3:AM66" si="23">+(AH3+(5*AI3))/((J3+K3)+(5*(O3+P3)))</f>
        <v>0.8425531914893617</v>
      </c>
      <c r="AN3" s="17">
        <f t="shared" ref="AN3:AN66" si="24">+AH3/(J3+K3)</f>
        <v>0.88</v>
      </c>
      <c r="AO3" s="18" t="str">
        <f>+IFERROR(VLOOKUP(A3,[2]Rank!$B:$E,4,0),"No Ganador")</f>
        <v>No Ganador</v>
      </c>
      <c r="AP3" s="18">
        <f>+VLOOKUP(D3,[2]Departamento!$A$1:$B$16,2,0)</f>
        <v>1</v>
      </c>
      <c r="AQ3">
        <f t="shared" ref="AQ3:AQ66" si="25">+IFERROR(IF(AO3&gt;AP3,0,1),0)</f>
        <v>0</v>
      </c>
    </row>
    <row r="4" spans="1:43" x14ac:dyDescent="0.3">
      <c r="A4" t="s">
        <v>52</v>
      </c>
      <c r="B4" t="s">
        <v>53</v>
      </c>
      <c r="C4" t="s">
        <v>43</v>
      </c>
      <c r="D4" t="s">
        <v>49</v>
      </c>
      <c r="E4" s="10" t="s">
        <v>50</v>
      </c>
      <c r="F4" s="10" t="s">
        <v>51</v>
      </c>
      <c r="G4" s="11">
        <v>89</v>
      </c>
      <c r="H4" s="12">
        <v>105</v>
      </c>
      <c r="I4" s="12">
        <f t="shared" si="0"/>
        <v>105</v>
      </c>
      <c r="J4" s="13">
        <f t="shared" si="1"/>
        <v>126</v>
      </c>
      <c r="K4" s="14">
        <f t="shared" si="2"/>
        <v>114</v>
      </c>
      <c r="L4" s="15">
        <v>0</v>
      </c>
      <c r="M4" s="12">
        <v>0</v>
      </c>
      <c r="N4" s="12">
        <f t="shared" si="3"/>
        <v>0</v>
      </c>
      <c r="O4" s="13">
        <v>1</v>
      </c>
      <c r="P4" s="16">
        <v>1</v>
      </c>
      <c r="Q4" s="15">
        <f t="shared" si="5"/>
        <v>21</v>
      </c>
      <c r="R4" s="12">
        <f t="shared" si="6"/>
        <v>9</v>
      </c>
      <c r="S4" s="12">
        <f t="shared" si="7"/>
        <v>1</v>
      </c>
      <c r="T4" s="12">
        <f t="shared" si="8"/>
        <v>1</v>
      </c>
      <c r="U4" s="17">
        <f t="shared" si="9"/>
        <v>0.19999999999999996</v>
      </c>
      <c r="V4" s="17">
        <f t="shared" si="10"/>
        <v>8.5714285714285632E-2</v>
      </c>
      <c r="W4" s="17" t="str">
        <f t="shared" si="11"/>
        <v>-</v>
      </c>
      <c r="X4" s="17">
        <f t="shared" si="12"/>
        <v>0</v>
      </c>
      <c r="Y4" s="18">
        <f>+IFERROR(VLOOKUP(A4,[1]Hoja1!$A:$B,2,0),0)</f>
        <v>46</v>
      </c>
      <c r="Z4" s="18">
        <f>+IFERROR(VLOOKUP(A4,[1]Hoja1!$D:$E,2,0),0)</f>
        <v>1</v>
      </c>
      <c r="AA4" s="18">
        <f t="shared" si="14"/>
        <v>130</v>
      </c>
      <c r="AB4" s="18">
        <f t="shared" si="14"/>
        <v>3</v>
      </c>
      <c r="AC4">
        <f t="shared" si="15"/>
        <v>1</v>
      </c>
      <c r="AD4">
        <f t="shared" si="16"/>
        <v>1</v>
      </c>
      <c r="AE4">
        <f t="shared" si="17"/>
        <v>1</v>
      </c>
      <c r="AF4" s="17">
        <f t="shared" si="13"/>
        <v>1.1068702290076335</v>
      </c>
      <c r="AG4" s="17">
        <f t="shared" si="18"/>
        <v>1.0317460317460319</v>
      </c>
      <c r="AH4" s="18">
        <f t="shared" si="19"/>
        <v>247</v>
      </c>
      <c r="AI4" s="18">
        <f t="shared" si="19"/>
        <v>5</v>
      </c>
      <c r="AJ4">
        <f t="shared" si="20"/>
        <v>1</v>
      </c>
      <c r="AK4">
        <f t="shared" si="21"/>
        <v>1</v>
      </c>
      <c r="AL4">
        <f t="shared" si="22"/>
        <v>1</v>
      </c>
      <c r="AM4" s="17">
        <f t="shared" si="23"/>
        <v>1.0880000000000001</v>
      </c>
      <c r="AN4" s="17">
        <f t="shared" si="24"/>
        <v>1.0291666666666666</v>
      </c>
      <c r="AO4" s="18">
        <f>+IFERROR(VLOOKUP(A4,[2]Rank!$B:$E,4,0),"No Ganador")</f>
        <v>1</v>
      </c>
      <c r="AP4" s="18">
        <f>+VLOOKUP(D4,[2]Departamento!$A$1:$B$16,2,0)</f>
        <v>1</v>
      </c>
      <c r="AQ4">
        <f t="shared" si="25"/>
        <v>1</v>
      </c>
    </row>
    <row r="5" spans="1:43" x14ac:dyDescent="0.3">
      <c r="A5" t="s">
        <v>54</v>
      </c>
      <c r="B5" t="s">
        <v>55</v>
      </c>
      <c r="C5" t="s">
        <v>43</v>
      </c>
      <c r="D5" t="s">
        <v>56</v>
      </c>
      <c r="E5" s="10" t="s">
        <v>57</v>
      </c>
      <c r="F5" s="10" t="s">
        <v>58</v>
      </c>
      <c r="G5" s="11">
        <v>62</v>
      </c>
      <c r="H5" s="12">
        <v>78</v>
      </c>
      <c r="I5" s="12">
        <f t="shared" si="0"/>
        <v>78</v>
      </c>
      <c r="J5" s="13">
        <f t="shared" si="1"/>
        <v>94</v>
      </c>
      <c r="K5" s="14">
        <f t="shared" si="2"/>
        <v>85</v>
      </c>
      <c r="L5" s="15">
        <v>11</v>
      </c>
      <c r="M5" s="12">
        <v>31</v>
      </c>
      <c r="N5" s="12">
        <f t="shared" si="3"/>
        <v>31</v>
      </c>
      <c r="O5" s="13">
        <v>37</v>
      </c>
      <c r="P5" s="16">
        <f t="shared" si="4"/>
        <v>33</v>
      </c>
      <c r="Q5" s="15">
        <f t="shared" si="5"/>
        <v>16</v>
      </c>
      <c r="R5" s="12">
        <f t="shared" si="6"/>
        <v>7</v>
      </c>
      <c r="S5" s="12">
        <f t="shared" si="7"/>
        <v>6</v>
      </c>
      <c r="T5" s="12">
        <f t="shared" si="8"/>
        <v>2</v>
      </c>
      <c r="U5" s="17">
        <f t="shared" si="9"/>
        <v>0.20512820512820507</v>
      </c>
      <c r="V5" s="17">
        <f t="shared" si="10"/>
        <v>8.9743589743589647E-2</v>
      </c>
      <c r="W5" s="17">
        <f t="shared" si="11"/>
        <v>0.19354838709677424</v>
      </c>
      <c r="X5" s="17">
        <f t="shared" si="12"/>
        <v>6.4516129032258007E-2</v>
      </c>
      <c r="Y5" s="18">
        <f>+IFERROR(VLOOKUP(A5,[1]Hoja1!$A:$B,2,0),0)</f>
        <v>11</v>
      </c>
      <c r="Z5" s="18">
        <f>+IFERROR(VLOOKUP(A5,[1]Hoja1!$D:$E,2,0),0)</f>
        <v>0</v>
      </c>
      <c r="AA5" s="18">
        <f t="shared" si="14"/>
        <v>31</v>
      </c>
      <c r="AB5" s="18">
        <f t="shared" si="14"/>
        <v>0</v>
      </c>
      <c r="AC5">
        <f t="shared" si="15"/>
        <v>0</v>
      </c>
      <c r="AD5">
        <f t="shared" si="16"/>
        <v>0</v>
      </c>
      <c r="AE5">
        <f t="shared" si="17"/>
        <v>0</v>
      </c>
      <c r="AF5" s="17">
        <f t="shared" si="13"/>
        <v>0.1111111111111111</v>
      </c>
      <c r="AG5" s="17">
        <f t="shared" si="18"/>
        <v>0.32978723404255317</v>
      </c>
      <c r="AH5" s="18">
        <f t="shared" si="19"/>
        <v>59</v>
      </c>
      <c r="AI5" s="18">
        <f t="shared" si="19"/>
        <v>0</v>
      </c>
      <c r="AJ5">
        <f t="shared" si="20"/>
        <v>0</v>
      </c>
      <c r="AK5">
        <f t="shared" si="21"/>
        <v>0</v>
      </c>
      <c r="AL5">
        <f t="shared" si="22"/>
        <v>0</v>
      </c>
      <c r="AM5" s="17">
        <f t="shared" si="23"/>
        <v>0.11153119092627599</v>
      </c>
      <c r="AN5" s="17">
        <f t="shared" si="24"/>
        <v>0.32960893854748602</v>
      </c>
      <c r="AO5" s="18" t="str">
        <f>+IFERROR(VLOOKUP(A5,[2]Rank!$B:$E,4,0),"No Ganador")</f>
        <v>No Ganador</v>
      </c>
      <c r="AP5" s="18">
        <f>+VLOOKUP(D5,[2]Departamento!$A$1:$B$16,2,0)</f>
        <v>2</v>
      </c>
      <c r="AQ5">
        <f t="shared" si="25"/>
        <v>0</v>
      </c>
    </row>
    <row r="6" spans="1:43" x14ac:dyDescent="0.3">
      <c r="A6" t="s">
        <v>59</v>
      </c>
      <c r="B6" t="s">
        <v>60</v>
      </c>
      <c r="C6" t="s">
        <v>43</v>
      </c>
      <c r="D6" t="s">
        <v>44</v>
      </c>
      <c r="E6" s="10" t="s">
        <v>45</v>
      </c>
      <c r="F6" s="10" t="s">
        <v>46</v>
      </c>
      <c r="G6" s="11">
        <v>63</v>
      </c>
      <c r="H6" s="12">
        <v>147</v>
      </c>
      <c r="I6" s="12">
        <f t="shared" si="0"/>
        <v>147</v>
      </c>
      <c r="J6" s="13">
        <f t="shared" si="1"/>
        <v>176</v>
      </c>
      <c r="K6" s="14">
        <f t="shared" si="2"/>
        <v>159</v>
      </c>
      <c r="L6" s="15">
        <v>11</v>
      </c>
      <c r="M6" s="12">
        <v>3</v>
      </c>
      <c r="N6" s="12">
        <f t="shared" si="3"/>
        <v>11</v>
      </c>
      <c r="O6" s="13">
        <v>10</v>
      </c>
      <c r="P6" s="16">
        <f t="shared" si="4"/>
        <v>9</v>
      </c>
      <c r="Q6" s="15">
        <f t="shared" si="5"/>
        <v>29</v>
      </c>
      <c r="R6" s="12">
        <f t="shared" si="6"/>
        <v>12</v>
      </c>
      <c r="S6" s="12">
        <f t="shared" si="7"/>
        <v>7</v>
      </c>
      <c r="T6" s="12">
        <f t="shared" si="8"/>
        <v>6</v>
      </c>
      <c r="U6" s="17">
        <f t="shared" si="9"/>
        <v>0.19727891156462585</v>
      </c>
      <c r="V6" s="17">
        <f t="shared" si="10"/>
        <v>8.163265306122458E-2</v>
      </c>
      <c r="W6" s="17">
        <f t="shared" si="11"/>
        <v>2.3333333333333335</v>
      </c>
      <c r="X6" s="17">
        <f t="shared" si="12"/>
        <v>2</v>
      </c>
      <c r="Y6" s="18">
        <f>+IFERROR(VLOOKUP(A6,[1]Hoja1!$A:$B,2,0),0)</f>
        <v>60</v>
      </c>
      <c r="Z6" s="18">
        <f>+IFERROR(VLOOKUP(A6,[1]Hoja1!$D:$E,2,0),0)</f>
        <v>6</v>
      </c>
      <c r="AA6" s="18">
        <f t="shared" si="14"/>
        <v>169</v>
      </c>
      <c r="AB6" s="18">
        <f t="shared" si="14"/>
        <v>17</v>
      </c>
      <c r="AC6">
        <f t="shared" si="15"/>
        <v>0</v>
      </c>
      <c r="AD6">
        <f t="shared" si="16"/>
        <v>1</v>
      </c>
      <c r="AE6">
        <f t="shared" si="17"/>
        <v>0</v>
      </c>
      <c r="AF6" s="17">
        <f t="shared" si="13"/>
        <v>1.1238938053097345</v>
      </c>
      <c r="AG6" s="17">
        <f t="shared" si="18"/>
        <v>0.96022727272727271</v>
      </c>
      <c r="AH6" s="18">
        <f t="shared" si="19"/>
        <v>322</v>
      </c>
      <c r="AI6" s="18">
        <f t="shared" si="19"/>
        <v>32</v>
      </c>
      <c r="AJ6">
        <f t="shared" si="20"/>
        <v>0</v>
      </c>
      <c r="AK6">
        <f t="shared" si="21"/>
        <v>1</v>
      </c>
      <c r="AL6">
        <f t="shared" si="22"/>
        <v>0</v>
      </c>
      <c r="AM6" s="17">
        <f t="shared" si="23"/>
        <v>1.1209302325581396</v>
      </c>
      <c r="AN6" s="17">
        <f t="shared" si="24"/>
        <v>0.96119402985074631</v>
      </c>
      <c r="AO6" s="18" t="str">
        <f>+IFERROR(VLOOKUP(A6,[2]Rank!$B:$E,4,0),"No Ganador")</f>
        <v>No Ganador</v>
      </c>
      <c r="AP6" s="18">
        <f>+VLOOKUP(D6,[2]Departamento!$A$1:$B$16,2,0)</f>
        <v>6</v>
      </c>
      <c r="AQ6">
        <f t="shared" si="25"/>
        <v>0</v>
      </c>
    </row>
    <row r="7" spans="1:43" x14ac:dyDescent="0.3">
      <c r="A7" t="s">
        <v>61</v>
      </c>
      <c r="B7" t="s">
        <v>62</v>
      </c>
      <c r="C7" t="s">
        <v>43</v>
      </c>
      <c r="D7" t="s">
        <v>44</v>
      </c>
      <c r="E7" s="10" t="s">
        <v>45</v>
      </c>
      <c r="F7" s="10" t="s">
        <v>63</v>
      </c>
      <c r="G7" s="11">
        <v>61</v>
      </c>
      <c r="H7" s="12">
        <v>123</v>
      </c>
      <c r="I7" s="12">
        <f t="shared" si="0"/>
        <v>123</v>
      </c>
      <c r="J7" s="13">
        <f t="shared" si="1"/>
        <v>148</v>
      </c>
      <c r="K7" s="14">
        <f t="shared" si="2"/>
        <v>134</v>
      </c>
      <c r="L7" s="15">
        <v>0</v>
      </c>
      <c r="M7" s="12">
        <v>1</v>
      </c>
      <c r="N7" s="12">
        <f t="shared" si="3"/>
        <v>1</v>
      </c>
      <c r="O7" s="13">
        <v>2</v>
      </c>
      <c r="P7" s="16">
        <v>2</v>
      </c>
      <c r="Q7" s="15">
        <f t="shared" si="5"/>
        <v>25</v>
      </c>
      <c r="R7" s="12">
        <f t="shared" si="6"/>
        <v>11</v>
      </c>
      <c r="S7" s="12">
        <f t="shared" si="7"/>
        <v>1</v>
      </c>
      <c r="T7" s="12">
        <f t="shared" si="8"/>
        <v>1</v>
      </c>
      <c r="U7" s="17">
        <f t="shared" si="9"/>
        <v>0.20325203252032531</v>
      </c>
      <c r="V7" s="17">
        <f t="shared" si="10"/>
        <v>8.9430894308943021E-2</v>
      </c>
      <c r="W7" s="17">
        <f t="shared" si="11"/>
        <v>1</v>
      </c>
      <c r="X7" s="17">
        <f t="shared" si="12"/>
        <v>1</v>
      </c>
      <c r="Y7" s="18">
        <f>+IFERROR(VLOOKUP(A7,[1]Hoja1!$A:$B,2,0),0)</f>
        <v>34</v>
      </c>
      <c r="Z7" s="18">
        <f>+IFERROR(VLOOKUP(A7,[1]Hoja1!$D:$E,2,0),0)</f>
        <v>0</v>
      </c>
      <c r="AA7" s="18">
        <f t="shared" si="14"/>
        <v>96</v>
      </c>
      <c r="AB7" s="18">
        <f t="shared" si="14"/>
        <v>0</v>
      </c>
      <c r="AC7">
        <f t="shared" si="15"/>
        <v>0</v>
      </c>
      <c r="AD7">
        <f t="shared" si="16"/>
        <v>0</v>
      </c>
      <c r="AE7">
        <f t="shared" si="17"/>
        <v>0</v>
      </c>
      <c r="AF7" s="17">
        <f t="shared" si="13"/>
        <v>0.60759493670886078</v>
      </c>
      <c r="AG7" s="17">
        <f t="shared" si="18"/>
        <v>0.64864864864864868</v>
      </c>
      <c r="AH7" s="18">
        <f t="shared" si="19"/>
        <v>182</v>
      </c>
      <c r="AI7" s="18">
        <f t="shared" si="19"/>
        <v>0</v>
      </c>
      <c r="AJ7">
        <f t="shared" si="20"/>
        <v>0</v>
      </c>
      <c r="AK7">
        <f t="shared" si="21"/>
        <v>0</v>
      </c>
      <c r="AL7">
        <f t="shared" si="22"/>
        <v>0</v>
      </c>
      <c r="AM7" s="17">
        <f t="shared" si="23"/>
        <v>0.60264900662251653</v>
      </c>
      <c r="AN7" s="17">
        <f t="shared" si="24"/>
        <v>0.64539007092198586</v>
      </c>
      <c r="AO7" s="18" t="str">
        <f>+IFERROR(VLOOKUP(A7,[2]Rank!$B:$E,4,0),"No Ganador")</f>
        <v>No Ganador</v>
      </c>
      <c r="AP7" s="18">
        <f>+VLOOKUP(D7,[2]Departamento!$A$1:$B$16,2,0)</f>
        <v>6</v>
      </c>
      <c r="AQ7">
        <f t="shared" si="25"/>
        <v>0</v>
      </c>
    </row>
    <row r="8" spans="1:43" x14ac:dyDescent="0.3">
      <c r="A8" t="s">
        <v>64</v>
      </c>
      <c r="B8" t="s">
        <v>65</v>
      </c>
      <c r="C8" t="s">
        <v>43</v>
      </c>
      <c r="D8" t="s">
        <v>44</v>
      </c>
      <c r="E8" s="10" t="s">
        <v>45</v>
      </c>
      <c r="F8" s="10" t="s">
        <v>63</v>
      </c>
      <c r="G8" s="11">
        <v>75</v>
      </c>
      <c r="H8" s="12">
        <v>117</v>
      </c>
      <c r="I8" s="12">
        <f t="shared" si="0"/>
        <v>117</v>
      </c>
      <c r="J8" s="13">
        <f t="shared" si="1"/>
        <v>140</v>
      </c>
      <c r="K8" s="14">
        <f t="shared" si="2"/>
        <v>126</v>
      </c>
      <c r="L8" s="15">
        <v>3</v>
      </c>
      <c r="M8" s="12">
        <v>0</v>
      </c>
      <c r="N8" s="12">
        <f t="shared" si="3"/>
        <v>3</v>
      </c>
      <c r="O8" s="13">
        <v>3</v>
      </c>
      <c r="P8" s="16">
        <v>3</v>
      </c>
      <c r="Q8" s="15">
        <f t="shared" si="5"/>
        <v>23</v>
      </c>
      <c r="R8" s="12">
        <f t="shared" si="6"/>
        <v>9</v>
      </c>
      <c r="S8" s="12">
        <f t="shared" si="7"/>
        <v>3</v>
      </c>
      <c r="T8" s="12">
        <f t="shared" si="8"/>
        <v>3</v>
      </c>
      <c r="U8" s="17">
        <f t="shared" si="9"/>
        <v>0.19658119658119655</v>
      </c>
      <c r="V8" s="17">
        <f t="shared" si="10"/>
        <v>7.6923076923076872E-2</v>
      </c>
      <c r="W8" s="17" t="str">
        <f t="shared" si="11"/>
        <v>-</v>
      </c>
      <c r="X8" s="17">
        <f t="shared" si="12"/>
        <v>0</v>
      </c>
      <c r="Y8" s="18">
        <f>+IFERROR(VLOOKUP(A8,[1]Hoja1!$A:$B,2,0),0)</f>
        <v>37</v>
      </c>
      <c r="Z8" s="18">
        <f>+IFERROR(VLOOKUP(A8,[1]Hoja1!$D:$E,2,0),0)</f>
        <v>0</v>
      </c>
      <c r="AA8" s="18">
        <f t="shared" si="14"/>
        <v>104</v>
      </c>
      <c r="AB8" s="18">
        <f t="shared" si="14"/>
        <v>0</v>
      </c>
      <c r="AC8">
        <f t="shared" si="15"/>
        <v>0</v>
      </c>
      <c r="AD8">
        <f t="shared" si="16"/>
        <v>0</v>
      </c>
      <c r="AE8">
        <f t="shared" si="17"/>
        <v>0</v>
      </c>
      <c r="AF8" s="17">
        <f t="shared" si="13"/>
        <v>0.67096774193548392</v>
      </c>
      <c r="AG8" s="17">
        <f t="shared" si="18"/>
        <v>0.74285714285714288</v>
      </c>
      <c r="AH8" s="18">
        <f t="shared" si="19"/>
        <v>198</v>
      </c>
      <c r="AI8" s="18">
        <f t="shared" si="19"/>
        <v>0</v>
      </c>
      <c r="AJ8">
        <f t="shared" si="20"/>
        <v>0</v>
      </c>
      <c r="AK8">
        <f t="shared" si="21"/>
        <v>0</v>
      </c>
      <c r="AL8">
        <f t="shared" si="22"/>
        <v>0</v>
      </c>
      <c r="AM8" s="17">
        <f t="shared" si="23"/>
        <v>0.66891891891891897</v>
      </c>
      <c r="AN8" s="17">
        <f t="shared" si="24"/>
        <v>0.74436090225563911</v>
      </c>
      <c r="AO8" s="18" t="str">
        <f>+IFERROR(VLOOKUP(A8,[2]Rank!$B:$E,4,0),"No Ganador")</f>
        <v>No Ganador</v>
      </c>
      <c r="AP8" s="18">
        <f>+VLOOKUP(D8,[2]Departamento!$A$1:$B$16,2,0)</f>
        <v>6</v>
      </c>
      <c r="AQ8">
        <f t="shared" si="25"/>
        <v>0</v>
      </c>
    </row>
    <row r="9" spans="1:43" x14ac:dyDescent="0.3">
      <c r="A9" t="s">
        <v>66</v>
      </c>
      <c r="B9" t="s">
        <v>67</v>
      </c>
      <c r="C9" t="s">
        <v>43</v>
      </c>
      <c r="D9" t="s">
        <v>68</v>
      </c>
      <c r="E9" s="10" t="s">
        <v>69</v>
      </c>
      <c r="F9" s="10" t="s">
        <v>46</v>
      </c>
      <c r="G9" s="11">
        <v>295</v>
      </c>
      <c r="H9" s="12">
        <v>170.5</v>
      </c>
      <c r="I9" s="12">
        <f t="shared" si="0"/>
        <v>295</v>
      </c>
      <c r="J9" s="13">
        <f t="shared" si="1"/>
        <v>354</v>
      </c>
      <c r="K9" s="14">
        <f t="shared" si="2"/>
        <v>320</v>
      </c>
      <c r="L9" s="15">
        <v>15</v>
      </c>
      <c r="M9" s="12">
        <v>5.6363636363636367</v>
      </c>
      <c r="N9" s="12">
        <f t="shared" si="3"/>
        <v>15</v>
      </c>
      <c r="O9" s="13">
        <v>18</v>
      </c>
      <c r="P9" s="16">
        <f t="shared" ref="P9:P27" si="26">ROUND(O9/31*28,0)</f>
        <v>16</v>
      </c>
      <c r="Q9" s="15">
        <f t="shared" si="5"/>
        <v>183.5</v>
      </c>
      <c r="R9" s="12">
        <f t="shared" si="6"/>
        <v>149.5</v>
      </c>
      <c r="S9" s="12">
        <f t="shared" si="7"/>
        <v>12.363636363636363</v>
      </c>
      <c r="T9" s="12">
        <f t="shared" si="8"/>
        <v>10.363636363636363</v>
      </c>
      <c r="U9" s="17">
        <f t="shared" si="9"/>
        <v>1.0762463343108504</v>
      </c>
      <c r="V9" s="17">
        <f t="shared" si="10"/>
        <v>0.87683284457478017</v>
      </c>
      <c r="W9" s="17">
        <f t="shared" si="11"/>
        <v>2.193548387096774</v>
      </c>
      <c r="X9" s="17">
        <f t="shared" si="12"/>
        <v>1.8387096774193545</v>
      </c>
      <c r="Y9" s="18">
        <f>+IFERROR(VLOOKUP(A9,[1]Hoja1!$A:$B,2,0),0)</f>
        <v>32</v>
      </c>
      <c r="Z9" s="18">
        <f>+IFERROR(VLOOKUP(A9,[1]Hoja1!$D:$E,2,0),0)</f>
        <v>5</v>
      </c>
      <c r="AA9" s="18">
        <f t="shared" si="14"/>
        <v>90</v>
      </c>
      <c r="AB9" s="18">
        <f t="shared" si="14"/>
        <v>14</v>
      </c>
      <c r="AC9">
        <f t="shared" si="15"/>
        <v>0</v>
      </c>
      <c r="AD9">
        <f t="shared" si="16"/>
        <v>0</v>
      </c>
      <c r="AE9">
        <f t="shared" si="17"/>
        <v>0</v>
      </c>
      <c r="AF9" s="17">
        <f t="shared" si="13"/>
        <v>0.36036036036036034</v>
      </c>
      <c r="AG9" s="17">
        <f t="shared" si="18"/>
        <v>0.25423728813559321</v>
      </c>
      <c r="AH9" s="18">
        <f t="shared" si="19"/>
        <v>172</v>
      </c>
      <c r="AI9" s="18">
        <f t="shared" si="19"/>
        <v>27</v>
      </c>
      <c r="AJ9">
        <f t="shared" si="20"/>
        <v>0</v>
      </c>
      <c r="AK9">
        <f t="shared" si="21"/>
        <v>0</v>
      </c>
      <c r="AL9">
        <f t="shared" si="22"/>
        <v>0</v>
      </c>
      <c r="AM9" s="17">
        <f t="shared" si="23"/>
        <v>0.36374407582938389</v>
      </c>
      <c r="AN9" s="17">
        <f t="shared" si="24"/>
        <v>0.25519287833827892</v>
      </c>
      <c r="AO9" s="18" t="str">
        <f>+IFERROR(VLOOKUP(A9,[2]Rank!$B:$E,4,0),"No Ganador")</f>
        <v>No Ganador</v>
      </c>
      <c r="AP9" s="18">
        <f>+VLOOKUP(D9,[2]Departamento!$A$1:$B$16,2,0)</f>
        <v>2</v>
      </c>
      <c r="AQ9">
        <f t="shared" si="25"/>
        <v>0</v>
      </c>
    </row>
    <row r="10" spans="1:43" x14ac:dyDescent="0.3">
      <c r="A10" t="s">
        <v>70</v>
      </c>
      <c r="B10" t="s">
        <v>71</v>
      </c>
      <c r="C10" t="s">
        <v>43</v>
      </c>
      <c r="D10" t="s">
        <v>44</v>
      </c>
      <c r="E10" s="10" t="s">
        <v>45</v>
      </c>
      <c r="F10" s="10" t="s">
        <v>63</v>
      </c>
      <c r="G10" s="11">
        <v>78</v>
      </c>
      <c r="H10" s="12">
        <v>138</v>
      </c>
      <c r="I10" s="12">
        <f t="shared" si="0"/>
        <v>138</v>
      </c>
      <c r="J10" s="13">
        <f t="shared" si="1"/>
        <v>166</v>
      </c>
      <c r="K10" s="14">
        <f t="shared" si="2"/>
        <v>150</v>
      </c>
      <c r="L10" s="15">
        <v>7</v>
      </c>
      <c r="M10" s="12">
        <v>3</v>
      </c>
      <c r="N10" s="12">
        <f t="shared" si="3"/>
        <v>7</v>
      </c>
      <c r="O10" s="13">
        <v>7</v>
      </c>
      <c r="P10" s="16">
        <f t="shared" si="26"/>
        <v>6</v>
      </c>
      <c r="Q10" s="15">
        <f t="shared" si="5"/>
        <v>28</v>
      </c>
      <c r="R10" s="12">
        <f t="shared" si="6"/>
        <v>12</v>
      </c>
      <c r="S10" s="12">
        <f t="shared" si="7"/>
        <v>4</v>
      </c>
      <c r="T10" s="12">
        <f t="shared" si="8"/>
        <v>3</v>
      </c>
      <c r="U10" s="17">
        <f t="shared" si="9"/>
        <v>0.20289855072463769</v>
      </c>
      <c r="V10" s="17">
        <f t="shared" si="10"/>
        <v>8.6956521739130377E-2</v>
      </c>
      <c r="W10" s="17">
        <f t="shared" si="11"/>
        <v>1.3333333333333335</v>
      </c>
      <c r="X10" s="17">
        <f t="shared" si="12"/>
        <v>1</v>
      </c>
      <c r="Y10" s="18">
        <f>+IFERROR(VLOOKUP(A10,[1]Hoja1!$A:$B,2,0),0)</f>
        <v>15</v>
      </c>
      <c r="Z10" s="18">
        <f>+IFERROR(VLOOKUP(A10,[1]Hoja1!$D:$E,2,0),0)</f>
        <v>0</v>
      </c>
      <c r="AA10" s="18">
        <f t="shared" si="14"/>
        <v>42</v>
      </c>
      <c r="AB10" s="18">
        <f t="shared" si="14"/>
        <v>0</v>
      </c>
      <c r="AC10">
        <f t="shared" si="15"/>
        <v>0</v>
      </c>
      <c r="AD10">
        <f t="shared" si="16"/>
        <v>0</v>
      </c>
      <c r="AE10">
        <f t="shared" si="17"/>
        <v>0</v>
      </c>
      <c r="AF10" s="17">
        <f t="shared" si="13"/>
        <v>0.20895522388059701</v>
      </c>
      <c r="AG10" s="17">
        <f t="shared" si="18"/>
        <v>0.25301204819277107</v>
      </c>
      <c r="AH10" s="18">
        <f t="shared" si="19"/>
        <v>80</v>
      </c>
      <c r="AI10" s="18">
        <f t="shared" si="19"/>
        <v>0</v>
      </c>
      <c r="AJ10">
        <f t="shared" si="20"/>
        <v>0</v>
      </c>
      <c r="AK10">
        <f t="shared" si="21"/>
        <v>0</v>
      </c>
      <c r="AL10">
        <f t="shared" si="22"/>
        <v>0</v>
      </c>
      <c r="AM10" s="17">
        <f t="shared" si="23"/>
        <v>0.20997375328083989</v>
      </c>
      <c r="AN10" s="17">
        <f t="shared" si="24"/>
        <v>0.25316455696202533</v>
      </c>
      <c r="AO10" s="18" t="str">
        <f>+IFERROR(VLOOKUP(A10,[2]Rank!$B:$E,4,0),"No Ganador")</f>
        <v>No Ganador</v>
      </c>
      <c r="AP10" s="18">
        <f>+VLOOKUP(D10,[2]Departamento!$A$1:$B$16,2,0)</f>
        <v>6</v>
      </c>
      <c r="AQ10">
        <f t="shared" si="25"/>
        <v>0</v>
      </c>
    </row>
    <row r="11" spans="1:43" x14ac:dyDescent="0.3">
      <c r="A11" t="s">
        <v>72</v>
      </c>
      <c r="B11" t="s">
        <v>73</v>
      </c>
      <c r="C11" t="s">
        <v>43</v>
      </c>
      <c r="D11" t="s">
        <v>74</v>
      </c>
      <c r="E11" s="10" t="s">
        <v>57</v>
      </c>
      <c r="F11" s="10" t="s">
        <v>75</v>
      </c>
      <c r="G11" s="11">
        <v>221</v>
      </c>
      <c r="H11" s="12">
        <v>129.63636363636363</v>
      </c>
      <c r="I11" s="12">
        <f t="shared" si="0"/>
        <v>221</v>
      </c>
      <c r="J11" s="13">
        <v>235</v>
      </c>
      <c r="K11" s="14">
        <f t="shared" si="2"/>
        <v>212</v>
      </c>
      <c r="L11" s="15">
        <v>3</v>
      </c>
      <c r="M11" s="12">
        <v>1.4090909090909092</v>
      </c>
      <c r="N11" s="12">
        <f t="shared" si="3"/>
        <v>3</v>
      </c>
      <c r="O11" s="13">
        <v>4</v>
      </c>
      <c r="P11" s="16">
        <v>3</v>
      </c>
      <c r="Q11" s="15">
        <f t="shared" si="5"/>
        <v>105.36363636363637</v>
      </c>
      <c r="R11" s="12">
        <f t="shared" si="6"/>
        <v>82.363636363636374</v>
      </c>
      <c r="S11" s="12">
        <f t="shared" si="7"/>
        <v>2.5909090909090908</v>
      </c>
      <c r="T11" s="12">
        <f t="shared" si="8"/>
        <v>1.5909090909090908</v>
      </c>
      <c r="U11" s="17">
        <f t="shared" si="9"/>
        <v>0.81276297335203385</v>
      </c>
      <c r="V11" s="17">
        <f t="shared" si="10"/>
        <v>0.6353436185133241</v>
      </c>
      <c r="W11" s="17">
        <f t="shared" si="11"/>
        <v>1.8387096774193545</v>
      </c>
      <c r="X11" s="17">
        <f t="shared" si="12"/>
        <v>1.129032258064516</v>
      </c>
      <c r="Y11" s="18">
        <f>+IFERROR(VLOOKUP(A11,[1]Hoja1!$A:$B,2,0),0)</f>
        <v>10</v>
      </c>
      <c r="Z11" s="18">
        <f>+IFERROR(VLOOKUP(A11,[1]Hoja1!$D:$E,2,0),0)</f>
        <v>0</v>
      </c>
      <c r="AA11" s="18">
        <f t="shared" si="14"/>
        <v>28</v>
      </c>
      <c r="AB11" s="18">
        <f t="shared" si="14"/>
        <v>0</v>
      </c>
      <c r="AC11">
        <f t="shared" si="15"/>
        <v>0</v>
      </c>
      <c r="AD11">
        <f t="shared" si="16"/>
        <v>0</v>
      </c>
      <c r="AE11">
        <f t="shared" si="17"/>
        <v>0</v>
      </c>
      <c r="AF11" s="17">
        <f t="shared" si="13"/>
        <v>0.10980392156862745</v>
      </c>
      <c r="AG11" s="17">
        <f t="shared" si="18"/>
        <v>0.11914893617021277</v>
      </c>
      <c r="AH11" s="18">
        <f t="shared" si="19"/>
        <v>54</v>
      </c>
      <c r="AI11" s="18">
        <f t="shared" si="19"/>
        <v>0</v>
      </c>
      <c r="AJ11">
        <f t="shared" si="20"/>
        <v>0</v>
      </c>
      <c r="AK11">
        <f t="shared" si="21"/>
        <v>0</v>
      </c>
      <c r="AL11">
        <f t="shared" si="22"/>
        <v>0</v>
      </c>
      <c r="AM11" s="17">
        <f t="shared" si="23"/>
        <v>0.11203319502074689</v>
      </c>
      <c r="AN11" s="17">
        <f t="shared" si="24"/>
        <v>0.12080536912751678</v>
      </c>
      <c r="AO11" s="18" t="str">
        <f>+IFERROR(VLOOKUP(A11,[2]Rank!$B:$E,4,0),"No Ganador")</f>
        <v>No Ganador</v>
      </c>
      <c r="AP11" s="18">
        <f>+VLOOKUP(D11,[2]Departamento!$A$1:$B$16,2,0)</f>
        <v>2</v>
      </c>
      <c r="AQ11">
        <f t="shared" si="25"/>
        <v>0</v>
      </c>
    </row>
    <row r="12" spans="1:43" x14ac:dyDescent="0.3">
      <c r="A12" t="s">
        <v>76</v>
      </c>
      <c r="B12" t="s">
        <v>77</v>
      </c>
      <c r="C12" t="s">
        <v>43</v>
      </c>
      <c r="D12" t="s">
        <v>78</v>
      </c>
      <c r="E12" s="10" t="s">
        <v>50</v>
      </c>
      <c r="F12" s="10" t="s">
        <v>51</v>
      </c>
      <c r="G12" s="11">
        <v>58</v>
      </c>
      <c r="H12" s="12">
        <v>151</v>
      </c>
      <c r="I12" s="12">
        <f t="shared" si="0"/>
        <v>151</v>
      </c>
      <c r="J12" s="13">
        <f t="shared" ref="J12:J75" si="27">ROUND(I12*1.2,0)</f>
        <v>181</v>
      </c>
      <c r="K12" s="14">
        <f t="shared" si="2"/>
        <v>163</v>
      </c>
      <c r="L12" s="15">
        <v>5</v>
      </c>
      <c r="M12" s="12">
        <v>13</v>
      </c>
      <c r="N12" s="12">
        <f t="shared" si="3"/>
        <v>13</v>
      </c>
      <c r="O12" s="13">
        <v>16</v>
      </c>
      <c r="P12" s="16">
        <f t="shared" si="26"/>
        <v>14</v>
      </c>
      <c r="Q12" s="15">
        <f t="shared" si="5"/>
        <v>30</v>
      </c>
      <c r="R12" s="12">
        <f t="shared" si="6"/>
        <v>12</v>
      </c>
      <c r="S12" s="12">
        <f t="shared" si="7"/>
        <v>3</v>
      </c>
      <c r="T12" s="12">
        <f t="shared" si="8"/>
        <v>1</v>
      </c>
      <c r="U12" s="17">
        <f t="shared" si="9"/>
        <v>0.19867549668874163</v>
      </c>
      <c r="V12" s="17">
        <f t="shared" si="10"/>
        <v>7.9470198675496651E-2</v>
      </c>
      <c r="W12" s="17">
        <f t="shared" si="11"/>
        <v>0.23076923076923084</v>
      </c>
      <c r="X12" s="17">
        <f t="shared" si="12"/>
        <v>7.6923076923076872E-2</v>
      </c>
      <c r="Y12" s="18">
        <f>+IFERROR(VLOOKUP(A12,[1]Hoja1!$A:$B,2,0),0)</f>
        <v>65</v>
      </c>
      <c r="Z12" s="18">
        <f>+IFERROR(VLOOKUP(A12,[1]Hoja1!$D:$E,2,0),0)</f>
        <v>7</v>
      </c>
      <c r="AA12" s="18">
        <f t="shared" si="14"/>
        <v>183</v>
      </c>
      <c r="AB12" s="18">
        <f t="shared" si="14"/>
        <v>20</v>
      </c>
      <c r="AC12">
        <f t="shared" si="15"/>
        <v>1</v>
      </c>
      <c r="AD12">
        <f t="shared" si="16"/>
        <v>1</v>
      </c>
      <c r="AE12">
        <f t="shared" si="17"/>
        <v>1</v>
      </c>
      <c r="AF12" s="17">
        <f t="shared" si="13"/>
        <v>1.0842911877394636</v>
      </c>
      <c r="AG12" s="17">
        <f t="shared" si="18"/>
        <v>1.011049723756906</v>
      </c>
      <c r="AH12" s="18">
        <f t="shared" si="19"/>
        <v>349</v>
      </c>
      <c r="AI12" s="18">
        <f t="shared" si="19"/>
        <v>38</v>
      </c>
      <c r="AJ12">
        <f t="shared" si="20"/>
        <v>1</v>
      </c>
      <c r="AK12">
        <f t="shared" si="21"/>
        <v>1</v>
      </c>
      <c r="AL12">
        <f t="shared" si="22"/>
        <v>1</v>
      </c>
      <c r="AM12" s="17">
        <f t="shared" si="23"/>
        <v>1.0910931174089069</v>
      </c>
      <c r="AN12" s="17">
        <f t="shared" si="24"/>
        <v>1.0145348837209303</v>
      </c>
      <c r="AO12" s="18">
        <f>+IFERROR(VLOOKUP(A12,[2]Rank!$B:$E,4,0),"No Ganador")</f>
        <v>4</v>
      </c>
      <c r="AP12" s="18">
        <f>+VLOOKUP(D12,[2]Departamento!$A$1:$B$16,2,0)</f>
        <v>1</v>
      </c>
      <c r="AQ12">
        <f t="shared" si="25"/>
        <v>0</v>
      </c>
    </row>
    <row r="13" spans="1:43" x14ac:dyDescent="0.3">
      <c r="A13" t="s">
        <v>79</v>
      </c>
      <c r="B13" t="s">
        <v>80</v>
      </c>
      <c r="C13" t="s">
        <v>43</v>
      </c>
      <c r="D13" t="s">
        <v>74</v>
      </c>
      <c r="E13" s="10" t="s">
        <v>57</v>
      </c>
      <c r="F13" s="10" t="s">
        <v>75</v>
      </c>
      <c r="G13" s="11">
        <v>128</v>
      </c>
      <c r="H13" s="12">
        <v>199</v>
      </c>
      <c r="I13" s="12">
        <f t="shared" si="0"/>
        <v>199</v>
      </c>
      <c r="J13" s="13">
        <f t="shared" si="27"/>
        <v>239</v>
      </c>
      <c r="K13" s="14">
        <f t="shared" si="2"/>
        <v>216</v>
      </c>
      <c r="L13" s="15">
        <v>2</v>
      </c>
      <c r="M13" s="12">
        <v>8</v>
      </c>
      <c r="N13" s="12">
        <f t="shared" si="3"/>
        <v>8</v>
      </c>
      <c r="O13" s="13">
        <f>N13*1.2</f>
        <v>9.6</v>
      </c>
      <c r="P13" s="16">
        <f t="shared" si="26"/>
        <v>9</v>
      </c>
      <c r="Q13" s="15">
        <f t="shared" si="5"/>
        <v>40</v>
      </c>
      <c r="R13" s="12">
        <f t="shared" si="6"/>
        <v>17</v>
      </c>
      <c r="S13" s="12">
        <f t="shared" si="7"/>
        <v>1.5999999999999996</v>
      </c>
      <c r="T13" s="12">
        <f t="shared" si="8"/>
        <v>1</v>
      </c>
      <c r="U13" s="17">
        <f t="shared" si="9"/>
        <v>0.20100502512562812</v>
      </c>
      <c r="V13" s="17">
        <f t="shared" si="10"/>
        <v>8.5427135678391997E-2</v>
      </c>
      <c r="W13" s="17">
        <f t="shared" si="11"/>
        <v>0.19999999999999996</v>
      </c>
      <c r="X13" s="17">
        <f t="shared" si="12"/>
        <v>0.125</v>
      </c>
      <c r="Y13" s="18">
        <f>+IFERROR(VLOOKUP(A13,[1]Hoja1!$A:$B,2,0),0)</f>
        <v>109</v>
      </c>
      <c r="Z13" s="18">
        <f>+IFERROR(VLOOKUP(A13,[1]Hoja1!$D:$E,2,0),0)</f>
        <v>4</v>
      </c>
      <c r="AA13" s="18">
        <f t="shared" si="14"/>
        <v>307</v>
      </c>
      <c r="AB13" s="18">
        <f t="shared" si="14"/>
        <v>11</v>
      </c>
      <c r="AC13">
        <f t="shared" si="15"/>
        <v>1</v>
      </c>
      <c r="AD13">
        <f t="shared" si="16"/>
        <v>1</v>
      </c>
      <c r="AE13">
        <f t="shared" si="17"/>
        <v>1</v>
      </c>
      <c r="AF13" s="17">
        <f t="shared" si="13"/>
        <v>1.2613240418118468</v>
      </c>
      <c r="AG13" s="17">
        <f t="shared" si="18"/>
        <v>1.2845188284518829</v>
      </c>
      <c r="AH13" s="18">
        <f t="shared" si="19"/>
        <v>585</v>
      </c>
      <c r="AI13" s="18">
        <f t="shared" si="19"/>
        <v>21</v>
      </c>
      <c r="AJ13">
        <f t="shared" si="20"/>
        <v>1</v>
      </c>
      <c r="AK13">
        <f t="shared" si="21"/>
        <v>1</v>
      </c>
      <c r="AL13">
        <f t="shared" si="22"/>
        <v>1</v>
      </c>
      <c r="AM13" s="17">
        <f t="shared" si="23"/>
        <v>1.2591240875912408</v>
      </c>
      <c r="AN13" s="17">
        <f t="shared" si="24"/>
        <v>1.2857142857142858</v>
      </c>
      <c r="AO13" s="18">
        <f>+IFERROR(VLOOKUP(A13,[2]Rank!$B:$E,4,0),"No Ganador")</f>
        <v>3</v>
      </c>
      <c r="AP13" s="18">
        <f>+VLOOKUP(D13,[2]Departamento!$A$1:$B$16,2,0)</f>
        <v>2</v>
      </c>
      <c r="AQ13">
        <f t="shared" si="25"/>
        <v>0</v>
      </c>
    </row>
    <row r="14" spans="1:43" x14ac:dyDescent="0.3">
      <c r="A14" t="s">
        <v>81</v>
      </c>
      <c r="B14" t="s">
        <v>82</v>
      </c>
      <c r="C14" t="s">
        <v>43</v>
      </c>
      <c r="D14" t="s">
        <v>44</v>
      </c>
      <c r="E14" s="10" t="s">
        <v>45</v>
      </c>
      <c r="F14" s="10" t="s">
        <v>63</v>
      </c>
      <c r="G14" s="11">
        <v>176</v>
      </c>
      <c r="H14" s="12">
        <v>88.77272727272728</v>
      </c>
      <c r="I14" s="12">
        <f t="shared" si="0"/>
        <v>176</v>
      </c>
      <c r="J14" s="13">
        <f t="shared" si="27"/>
        <v>211</v>
      </c>
      <c r="K14" s="14">
        <f t="shared" si="2"/>
        <v>191</v>
      </c>
      <c r="L14" s="15">
        <v>7</v>
      </c>
      <c r="M14" s="12">
        <v>1.4090909090909092</v>
      </c>
      <c r="N14" s="12">
        <f t="shared" si="3"/>
        <v>7</v>
      </c>
      <c r="O14" s="13">
        <v>8</v>
      </c>
      <c r="P14" s="16">
        <f t="shared" si="26"/>
        <v>7</v>
      </c>
      <c r="Q14" s="15">
        <f t="shared" si="5"/>
        <v>122.22727272727272</v>
      </c>
      <c r="R14" s="12">
        <f t="shared" si="6"/>
        <v>102.22727272727272</v>
      </c>
      <c r="S14" s="12">
        <f t="shared" si="7"/>
        <v>6.5909090909090908</v>
      </c>
      <c r="T14" s="12">
        <f t="shared" si="8"/>
        <v>5.5909090909090908</v>
      </c>
      <c r="U14" s="17">
        <f t="shared" si="9"/>
        <v>1.3768561187916024</v>
      </c>
      <c r="V14" s="17">
        <f t="shared" si="10"/>
        <v>1.1515616999487963</v>
      </c>
      <c r="W14" s="17">
        <f t="shared" si="11"/>
        <v>4.6774193548387091</v>
      </c>
      <c r="X14" s="17">
        <f t="shared" si="12"/>
        <v>3.967741935483871</v>
      </c>
      <c r="Y14" s="18">
        <f>+IFERROR(VLOOKUP(A14,[1]Hoja1!$A:$B,2,0),0)</f>
        <v>14</v>
      </c>
      <c r="Z14" s="18">
        <f>+IFERROR(VLOOKUP(A14,[1]Hoja1!$D:$E,2,0),0)</f>
        <v>1</v>
      </c>
      <c r="AA14" s="18">
        <f t="shared" si="14"/>
        <v>39</v>
      </c>
      <c r="AB14" s="18">
        <f t="shared" si="14"/>
        <v>3</v>
      </c>
      <c r="AC14">
        <f t="shared" si="15"/>
        <v>0</v>
      </c>
      <c r="AD14">
        <f t="shared" si="16"/>
        <v>0</v>
      </c>
      <c r="AE14">
        <f t="shared" si="17"/>
        <v>0</v>
      </c>
      <c r="AF14" s="17">
        <f t="shared" si="13"/>
        <v>0.2151394422310757</v>
      </c>
      <c r="AG14" s="17">
        <f t="shared" si="18"/>
        <v>0.18483412322274881</v>
      </c>
      <c r="AH14" s="18">
        <f t="shared" si="19"/>
        <v>75</v>
      </c>
      <c r="AI14" s="18">
        <f t="shared" si="19"/>
        <v>5</v>
      </c>
      <c r="AJ14">
        <f t="shared" si="20"/>
        <v>0</v>
      </c>
      <c r="AK14">
        <f t="shared" si="21"/>
        <v>0</v>
      </c>
      <c r="AL14">
        <f t="shared" si="22"/>
        <v>0</v>
      </c>
      <c r="AM14" s="17">
        <f t="shared" si="23"/>
        <v>0.20964360587002095</v>
      </c>
      <c r="AN14" s="17">
        <f t="shared" si="24"/>
        <v>0.18656716417910449</v>
      </c>
      <c r="AO14" s="18" t="str">
        <f>+IFERROR(VLOOKUP(A14,[2]Rank!$B:$E,4,0),"No Ganador")</f>
        <v>No Ganador</v>
      </c>
      <c r="AP14" s="18">
        <f>+VLOOKUP(D14,[2]Departamento!$A$1:$B$16,2,0)</f>
        <v>6</v>
      </c>
      <c r="AQ14">
        <f t="shared" si="25"/>
        <v>0</v>
      </c>
    </row>
    <row r="15" spans="1:43" x14ac:dyDescent="0.3">
      <c r="A15" t="s">
        <v>83</v>
      </c>
      <c r="B15" t="s">
        <v>84</v>
      </c>
      <c r="C15" t="s">
        <v>43</v>
      </c>
      <c r="D15" t="s">
        <v>49</v>
      </c>
      <c r="E15" s="10" t="s">
        <v>50</v>
      </c>
      <c r="F15" s="10" t="s">
        <v>51</v>
      </c>
      <c r="G15" s="11">
        <v>128</v>
      </c>
      <c r="H15" s="12">
        <v>46.5</v>
      </c>
      <c r="I15" s="12">
        <f t="shared" si="0"/>
        <v>128</v>
      </c>
      <c r="J15" s="13">
        <f t="shared" si="27"/>
        <v>154</v>
      </c>
      <c r="K15" s="14">
        <f t="shared" si="2"/>
        <v>139</v>
      </c>
      <c r="L15" s="15">
        <v>2</v>
      </c>
      <c r="M15" s="12">
        <v>4.2272727272727266</v>
      </c>
      <c r="N15" s="12">
        <f t="shared" si="3"/>
        <v>4.2272727272727266</v>
      </c>
      <c r="O15" s="13">
        <v>5</v>
      </c>
      <c r="P15" s="16">
        <f t="shared" si="26"/>
        <v>5</v>
      </c>
      <c r="Q15" s="15">
        <f t="shared" si="5"/>
        <v>107.5</v>
      </c>
      <c r="R15" s="12">
        <f t="shared" si="6"/>
        <v>92.5</v>
      </c>
      <c r="S15" s="12">
        <f t="shared" si="7"/>
        <v>0.77272727272727337</v>
      </c>
      <c r="T15" s="12">
        <f t="shared" si="8"/>
        <v>0.77272727272727337</v>
      </c>
      <c r="U15" s="17">
        <f t="shared" si="9"/>
        <v>2.3118279569892475</v>
      </c>
      <c r="V15" s="17">
        <f t="shared" si="10"/>
        <v>1.989247311827957</v>
      </c>
      <c r="W15" s="17">
        <f t="shared" si="11"/>
        <v>0.18279569892473146</v>
      </c>
      <c r="X15" s="17">
        <f t="shared" si="12"/>
        <v>0.18279569892473146</v>
      </c>
      <c r="Y15" s="18">
        <f>+IFERROR(VLOOKUP(A15,[1]Hoja1!$A:$B,2,0),0)</f>
        <v>1</v>
      </c>
      <c r="Z15" s="18">
        <f>+IFERROR(VLOOKUP(A15,[1]Hoja1!$D:$E,2,0),0)</f>
        <v>0</v>
      </c>
      <c r="AA15" s="18">
        <f t="shared" si="14"/>
        <v>3</v>
      </c>
      <c r="AB15" s="18">
        <f t="shared" si="14"/>
        <v>0</v>
      </c>
      <c r="AC15">
        <f t="shared" si="15"/>
        <v>0</v>
      </c>
      <c r="AD15">
        <f t="shared" si="16"/>
        <v>0</v>
      </c>
      <c r="AE15">
        <f t="shared" si="17"/>
        <v>0</v>
      </c>
      <c r="AF15" s="17">
        <f t="shared" si="13"/>
        <v>1.6759776536312849E-2</v>
      </c>
      <c r="AG15" s="17">
        <f t="shared" si="18"/>
        <v>1.948051948051948E-2</v>
      </c>
      <c r="AH15" s="18">
        <f t="shared" si="19"/>
        <v>5</v>
      </c>
      <c r="AI15" s="18">
        <f t="shared" si="19"/>
        <v>0</v>
      </c>
      <c r="AJ15">
        <f t="shared" si="20"/>
        <v>0</v>
      </c>
      <c r="AK15">
        <f t="shared" si="21"/>
        <v>0</v>
      </c>
      <c r="AL15">
        <f t="shared" si="22"/>
        <v>0</v>
      </c>
      <c r="AM15" s="17">
        <f t="shared" si="23"/>
        <v>1.4577259475218658E-2</v>
      </c>
      <c r="AN15" s="17">
        <f t="shared" si="24"/>
        <v>1.7064846416382253E-2</v>
      </c>
      <c r="AO15" s="18" t="str">
        <f>+IFERROR(VLOOKUP(A15,[2]Rank!$B:$E,4,0),"No Ganador")</f>
        <v>No Ganador</v>
      </c>
      <c r="AP15" s="18">
        <f>+VLOOKUP(D15,[2]Departamento!$A$1:$B$16,2,0)</f>
        <v>1</v>
      </c>
      <c r="AQ15">
        <f t="shared" si="25"/>
        <v>0</v>
      </c>
    </row>
    <row r="16" spans="1:43" x14ac:dyDescent="0.3">
      <c r="A16" t="s">
        <v>85</v>
      </c>
      <c r="B16" t="s">
        <v>86</v>
      </c>
      <c r="C16" t="s">
        <v>43</v>
      </c>
      <c r="D16" t="s">
        <v>87</v>
      </c>
      <c r="E16" s="10" t="s">
        <v>57</v>
      </c>
      <c r="F16" s="10" t="s">
        <v>58</v>
      </c>
      <c r="G16" s="11">
        <v>142</v>
      </c>
      <c r="H16" s="12">
        <v>62</v>
      </c>
      <c r="I16" s="12">
        <f t="shared" si="0"/>
        <v>142</v>
      </c>
      <c r="J16" s="13">
        <f t="shared" si="27"/>
        <v>170</v>
      </c>
      <c r="K16" s="14">
        <f t="shared" si="2"/>
        <v>154</v>
      </c>
      <c r="L16" s="15">
        <v>1</v>
      </c>
      <c r="M16" s="12">
        <v>1.4090909090909092</v>
      </c>
      <c r="N16" s="12">
        <f t="shared" si="3"/>
        <v>1.4090909090909092</v>
      </c>
      <c r="O16" s="13">
        <v>2</v>
      </c>
      <c r="P16" s="16">
        <f t="shared" si="26"/>
        <v>2</v>
      </c>
      <c r="Q16" s="15">
        <f t="shared" si="5"/>
        <v>108</v>
      </c>
      <c r="R16" s="12">
        <f t="shared" si="6"/>
        <v>92</v>
      </c>
      <c r="S16" s="12">
        <f t="shared" si="7"/>
        <v>0.59090909090909083</v>
      </c>
      <c r="T16" s="12">
        <f t="shared" si="8"/>
        <v>0.59090909090909083</v>
      </c>
      <c r="U16" s="17">
        <f t="shared" si="9"/>
        <v>1.7419354838709675</v>
      </c>
      <c r="V16" s="17">
        <f t="shared" si="10"/>
        <v>1.4838709677419355</v>
      </c>
      <c r="W16" s="17">
        <f t="shared" si="11"/>
        <v>0.41935483870967727</v>
      </c>
      <c r="X16" s="17">
        <f t="shared" si="12"/>
        <v>0.41935483870967727</v>
      </c>
      <c r="Y16" s="18">
        <f>+IFERROR(VLOOKUP(A16,[1]Hoja1!$A:$B,2,0),0)</f>
        <v>8</v>
      </c>
      <c r="Z16" s="18">
        <f>+IFERROR(VLOOKUP(A16,[1]Hoja1!$D:$E,2,0),0)</f>
        <v>1</v>
      </c>
      <c r="AA16" s="18">
        <f t="shared" si="14"/>
        <v>23</v>
      </c>
      <c r="AB16" s="18">
        <f t="shared" si="14"/>
        <v>3</v>
      </c>
      <c r="AC16">
        <f t="shared" si="15"/>
        <v>0</v>
      </c>
      <c r="AD16">
        <f t="shared" si="16"/>
        <v>1</v>
      </c>
      <c r="AE16">
        <f t="shared" si="17"/>
        <v>0</v>
      </c>
      <c r="AF16" s="17">
        <f t="shared" si="13"/>
        <v>0.21111111111111111</v>
      </c>
      <c r="AG16" s="17">
        <f t="shared" si="18"/>
        <v>0.13529411764705881</v>
      </c>
      <c r="AH16" s="18">
        <f t="shared" si="19"/>
        <v>43</v>
      </c>
      <c r="AI16" s="18">
        <f t="shared" si="19"/>
        <v>5</v>
      </c>
      <c r="AJ16">
        <f t="shared" si="20"/>
        <v>0</v>
      </c>
      <c r="AK16">
        <f t="shared" si="21"/>
        <v>1</v>
      </c>
      <c r="AL16">
        <f t="shared" si="22"/>
        <v>0</v>
      </c>
      <c r="AM16" s="17">
        <f t="shared" si="23"/>
        <v>0.19767441860465115</v>
      </c>
      <c r="AN16" s="17">
        <f>+AH16/(J16+K16)</f>
        <v>0.13271604938271606</v>
      </c>
      <c r="AO16" s="18" t="str">
        <f>+IFERROR(VLOOKUP(A16,[2]Rank!$B:$E,4,0),"No Ganador")</f>
        <v>No Ganador</v>
      </c>
      <c r="AP16" s="18">
        <f>+VLOOKUP(D16,[2]Departamento!$A$1:$B$16,2,0)</f>
        <v>2</v>
      </c>
      <c r="AQ16">
        <f t="shared" si="25"/>
        <v>0</v>
      </c>
    </row>
    <row r="17" spans="1:43" x14ac:dyDescent="0.3">
      <c r="A17" t="s">
        <v>88</v>
      </c>
      <c r="B17" t="s">
        <v>89</v>
      </c>
      <c r="C17" t="s">
        <v>43</v>
      </c>
      <c r="D17" t="s">
        <v>90</v>
      </c>
      <c r="E17" s="10" t="s">
        <v>69</v>
      </c>
      <c r="F17" s="10" t="s">
        <v>75</v>
      </c>
      <c r="G17" s="11">
        <v>164</v>
      </c>
      <c r="H17" s="12">
        <v>90.181818181818187</v>
      </c>
      <c r="I17" s="12">
        <f t="shared" si="0"/>
        <v>164</v>
      </c>
      <c r="J17" s="13">
        <f t="shared" si="27"/>
        <v>197</v>
      </c>
      <c r="K17" s="14">
        <f t="shared" si="2"/>
        <v>178</v>
      </c>
      <c r="L17" s="15">
        <v>15</v>
      </c>
      <c r="M17" s="12">
        <v>21.136363636363633</v>
      </c>
      <c r="N17" s="12">
        <f t="shared" si="3"/>
        <v>21.136363636363633</v>
      </c>
      <c r="O17" s="13">
        <v>25</v>
      </c>
      <c r="P17" s="16">
        <f t="shared" si="26"/>
        <v>23</v>
      </c>
      <c r="Q17" s="15">
        <f t="shared" si="5"/>
        <v>106.81818181818181</v>
      </c>
      <c r="R17" s="12">
        <f t="shared" si="6"/>
        <v>87.818181818181813</v>
      </c>
      <c r="S17" s="12">
        <f t="shared" si="7"/>
        <v>3.8636363636363669</v>
      </c>
      <c r="T17" s="12">
        <f t="shared" si="8"/>
        <v>1.8636363636363669</v>
      </c>
      <c r="U17" s="17">
        <f t="shared" si="9"/>
        <v>1.184475806451613</v>
      </c>
      <c r="V17" s="17">
        <f t="shared" si="10"/>
        <v>0.97379032258064502</v>
      </c>
      <c r="W17" s="17">
        <f t="shared" si="11"/>
        <v>0.18279569892473146</v>
      </c>
      <c r="X17" s="17">
        <f t="shared" si="12"/>
        <v>8.8172043010752876E-2</v>
      </c>
      <c r="Y17" s="18">
        <f>+IFERROR(VLOOKUP(A17,[1]Hoja1!$A:$B,2,0),0)</f>
        <v>53</v>
      </c>
      <c r="Z17" s="18">
        <f>+IFERROR(VLOOKUP(A17,[1]Hoja1!$D:$E,2,0),0)</f>
        <v>14</v>
      </c>
      <c r="AA17" s="18">
        <f t="shared" si="14"/>
        <v>149</v>
      </c>
      <c r="AB17" s="18">
        <f t="shared" si="14"/>
        <v>39</v>
      </c>
      <c r="AC17">
        <f t="shared" si="15"/>
        <v>0</v>
      </c>
      <c r="AD17">
        <f t="shared" si="16"/>
        <v>1</v>
      </c>
      <c r="AE17">
        <f t="shared" si="17"/>
        <v>0</v>
      </c>
      <c r="AF17" s="17">
        <f t="shared" si="13"/>
        <v>1.0683229813664596</v>
      </c>
      <c r="AG17" s="17">
        <f t="shared" si="18"/>
        <v>0.75634517766497467</v>
      </c>
      <c r="AH17" s="18">
        <f t="shared" si="19"/>
        <v>284</v>
      </c>
      <c r="AI17" s="18">
        <f t="shared" si="19"/>
        <v>75</v>
      </c>
      <c r="AJ17">
        <f t="shared" si="20"/>
        <v>0</v>
      </c>
      <c r="AK17">
        <f t="shared" si="21"/>
        <v>1</v>
      </c>
      <c r="AL17">
        <f t="shared" si="22"/>
        <v>0</v>
      </c>
      <c r="AM17" s="17">
        <f t="shared" si="23"/>
        <v>1.0715447154471545</v>
      </c>
      <c r="AN17" s="17">
        <f t="shared" si="24"/>
        <v>0.7573333333333333</v>
      </c>
      <c r="AO17" s="18" t="str">
        <f>+IFERROR(VLOOKUP(A17,[2]Rank!$B:$E,4,0),"No Ganador")</f>
        <v>No Ganador</v>
      </c>
      <c r="AP17" s="18">
        <f>+VLOOKUP(D17,[2]Departamento!$A$1:$B$16,2,0)</f>
        <v>2</v>
      </c>
      <c r="AQ17">
        <f t="shared" si="25"/>
        <v>0</v>
      </c>
    </row>
    <row r="18" spans="1:43" x14ac:dyDescent="0.3">
      <c r="A18" t="s">
        <v>91</v>
      </c>
      <c r="B18" t="s">
        <v>92</v>
      </c>
      <c r="C18" t="s">
        <v>43</v>
      </c>
      <c r="D18" t="s">
        <v>87</v>
      </c>
      <c r="E18" s="10" t="s">
        <v>57</v>
      </c>
      <c r="F18" s="10" t="s">
        <v>58</v>
      </c>
      <c r="G18" s="11">
        <v>142</v>
      </c>
      <c r="H18" s="12">
        <v>71.863636363636374</v>
      </c>
      <c r="I18" s="12">
        <f t="shared" si="0"/>
        <v>142</v>
      </c>
      <c r="J18" s="13">
        <f t="shared" si="27"/>
        <v>170</v>
      </c>
      <c r="K18" s="14">
        <f t="shared" si="2"/>
        <v>154</v>
      </c>
      <c r="L18" s="15">
        <v>0</v>
      </c>
      <c r="M18" s="12">
        <v>0</v>
      </c>
      <c r="N18" s="12">
        <f t="shared" si="3"/>
        <v>0</v>
      </c>
      <c r="O18" s="13">
        <v>1</v>
      </c>
      <c r="P18" s="16">
        <f t="shared" si="26"/>
        <v>1</v>
      </c>
      <c r="Q18" s="15">
        <f t="shared" si="5"/>
        <v>98.136363636363626</v>
      </c>
      <c r="R18" s="12">
        <f t="shared" si="6"/>
        <v>82.136363636363626</v>
      </c>
      <c r="S18" s="12">
        <f t="shared" si="7"/>
        <v>1</v>
      </c>
      <c r="T18" s="12">
        <f t="shared" si="8"/>
        <v>1</v>
      </c>
      <c r="U18" s="17">
        <f t="shared" si="9"/>
        <v>1.365591397849462</v>
      </c>
      <c r="V18" s="17">
        <f t="shared" si="10"/>
        <v>1.1429475015812773</v>
      </c>
      <c r="W18" s="17" t="str">
        <f t="shared" si="11"/>
        <v>-</v>
      </c>
      <c r="X18" s="17">
        <f t="shared" si="12"/>
        <v>0</v>
      </c>
      <c r="Y18" s="18">
        <f>+IFERROR(VLOOKUP(A18,[1]Hoja1!$A:$B,2,0),0)</f>
        <v>13</v>
      </c>
      <c r="Z18" s="18">
        <f>+IFERROR(VLOOKUP(A18,[1]Hoja1!$D:$E,2,0),0)</f>
        <v>0</v>
      </c>
      <c r="AA18" s="18">
        <f t="shared" si="14"/>
        <v>37</v>
      </c>
      <c r="AB18" s="18">
        <f t="shared" si="14"/>
        <v>0</v>
      </c>
      <c r="AC18">
        <f t="shared" si="15"/>
        <v>0</v>
      </c>
      <c r="AD18">
        <f t="shared" si="16"/>
        <v>0</v>
      </c>
      <c r="AE18">
        <f t="shared" si="17"/>
        <v>0</v>
      </c>
      <c r="AF18" s="17">
        <f t="shared" si="13"/>
        <v>0.21142857142857144</v>
      </c>
      <c r="AG18" s="17">
        <f t="shared" si="18"/>
        <v>0.21764705882352942</v>
      </c>
      <c r="AH18" s="18">
        <f t="shared" si="19"/>
        <v>70</v>
      </c>
      <c r="AI18" s="18">
        <f t="shared" si="19"/>
        <v>0</v>
      </c>
      <c r="AJ18">
        <f t="shared" si="20"/>
        <v>0</v>
      </c>
      <c r="AK18">
        <f t="shared" si="21"/>
        <v>0</v>
      </c>
      <c r="AL18">
        <f t="shared" si="22"/>
        <v>0</v>
      </c>
      <c r="AM18" s="17">
        <f t="shared" si="23"/>
        <v>0.20958083832335328</v>
      </c>
      <c r="AN18" s="17">
        <f t="shared" si="24"/>
        <v>0.21604938271604937</v>
      </c>
      <c r="AO18" s="18" t="str">
        <f>+IFERROR(VLOOKUP(A18,[2]Rank!$B:$E,4,0),"No Ganador")</f>
        <v>No Ganador</v>
      </c>
      <c r="AP18" s="18">
        <f>+VLOOKUP(D18,[2]Departamento!$A$1:$B$16,2,0)</f>
        <v>2</v>
      </c>
      <c r="AQ18">
        <f t="shared" si="25"/>
        <v>0</v>
      </c>
    </row>
    <row r="19" spans="1:43" x14ac:dyDescent="0.3">
      <c r="A19" t="s">
        <v>93</v>
      </c>
      <c r="B19" t="s">
        <v>94</v>
      </c>
      <c r="C19" t="s">
        <v>43</v>
      </c>
      <c r="D19" t="s">
        <v>90</v>
      </c>
      <c r="E19" s="10" t="s">
        <v>69</v>
      </c>
      <c r="F19" s="10" t="s">
        <v>75</v>
      </c>
      <c r="G19" s="11">
        <v>161</v>
      </c>
      <c r="H19" s="12">
        <v>94.409090909090907</v>
      </c>
      <c r="I19" s="12">
        <f t="shared" si="0"/>
        <v>161</v>
      </c>
      <c r="J19" s="13">
        <f t="shared" si="27"/>
        <v>193</v>
      </c>
      <c r="K19" s="14">
        <f t="shared" si="2"/>
        <v>174</v>
      </c>
      <c r="L19" s="15">
        <v>19</v>
      </c>
      <c r="M19" s="12">
        <v>19.727272727272727</v>
      </c>
      <c r="N19" s="12">
        <f t="shared" si="3"/>
        <v>19.727272727272727</v>
      </c>
      <c r="O19" s="13">
        <v>24</v>
      </c>
      <c r="P19" s="16">
        <f t="shared" si="26"/>
        <v>22</v>
      </c>
      <c r="Q19" s="15">
        <f t="shared" si="5"/>
        <v>98.590909090909093</v>
      </c>
      <c r="R19" s="12">
        <f t="shared" si="6"/>
        <v>79.590909090909093</v>
      </c>
      <c r="S19" s="12">
        <f t="shared" si="7"/>
        <v>4.2727272727272734</v>
      </c>
      <c r="T19" s="12">
        <f t="shared" si="8"/>
        <v>2.2727272727272734</v>
      </c>
      <c r="U19" s="17">
        <f t="shared" si="9"/>
        <v>1.0442946557534905</v>
      </c>
      <c r="V19" s="17">
        <f t="shared" si="10"/>
        <v>0.84304285026480508</v>
      </c>
      <c r="W19" s="17">
        <f t="shared" si="11"/>
        <v>0.21658986175115214</v>
      </c>
      <c r="X19" s="17">
        <f t="shared" si="12"/>
        <v>0.11520737327188946</v>
      </c>
      <c r="Y19" s="18">
        <f>+IFERROR(VLOOKUP(A19,[1]Hoja1!$A:$B,2,0),0)</f>
        <v>26</v>
      </c>
      <c r="Z19" s="18">
        <f>+IFERROR(VLOOKUP(A19,[1]Hoja1!$D:$E,2,0),0)</f>
        <v>3</v>
      </c>
      <c r="AA19" s="18">
        <f t="shared" si="14"/>
        <v>73</v>
      </c>
      <c r="AB19" s="18">
        <f t="shared" si="14"/>
        <v>8</v>
      </c>
      <c r="AC19">
        <f t="shared" si="15"/>
        <v>0</v>
      </c>
      <c r="AD19">
        <f t="shared" si="16"/>
        <v>0</v>
      </c>
      <c r="AE19">
        <f t="shared" si="17"/>
        <v>0</v>
      </c>
      <c r="AF19" s="17">
        <f t="shared" si="13"/>
        <v>0.36102236421725242</v>
      </c>
      <c r="AG19" s="17">
        <f t="shared" si="18"/>
        <v>0.37823834196891193</v>
      </c>
      <c r="AH19" s="18">
        <f t="shared" si="19"/>
        <v>139</v>
      </c>
      <c r="AI19" s="18">
        <f t="shared" si="19"/>
        <v>16</v>
      </c>
      <c r="AJ19">
        <f t="shared" si="20"/>
        <v>0</v>
      </c>
      <c r="AK19">
        <f t="shared" si="21"/>
        <v>0</v>
      </c>
      <c r="AL19">
        <f t="shared" si="22"/>
        <v>0</v>
      </c>
      <c r="AM19" s="17">
        <f t="shared" si="23"/>
        <v>0.36683417085427134</v>
      </c>
      <c r="AN19" s="17">
        <f t="shared" si="24"/>
        <v>0.37874659400544958</v>
      </c>
      <c r="AO19" s="18" t="str">
        <f>+IFERROR(VLOOKUP(A19,[2]Rank!$B:$E,4,0),"No Ganador")</f>
        <v>No Ganador</v>
      </c>
      <c r="AP19" s="18">
        <f>+VLOOKUP(D19,[2]Departamento!$A$1:$B$16,2,0)</f>
        <v>2</v>
      </c>
      <c r="AQ19">
        <f t="shared" si="25"/>
        <v>0</v>
      </c>
    </row>
    <row r="20" spans="1:43" x14ac:dyDescent="0.3">
      <c r="A20" t="s">
        <v>95</v>
      </c>
      <c r="B20" t="s">
        <v>96</v>
      </c>
      <c r="C20" t="s">
        <v>43</v>
      </c>
      <c r="D20" t="s">
        <v>68</v>
      </c>
      <c r="E20" s="10" t="s">
        <v>69</v>
      </c>
      <c r="F20" s="10" t="s">
        <v>51</v>
      </c>
      <c r="G20" s="11">
        <v>149</v>
      </c>
      <c r="H20" s="12">
        <v>111</v>
      </c>
      <c r="I20" s="12">
        <f t="shared" si="0"/>
        <v>149</v>
      </c>
      <c r="J20" s="13">
        <f t="shared" si="27"/>
        <v>179</v>
      </c>
      <c r="K20" s="14">
        <f t="shared" si="2"/>
        <v>162</v>
      </c>
      <c r="L20" s="15">
        <v>1</v>
      </c>
      <c r="M20" s="12">
        <v>2</v>
      </c>
      <c r="N20" s="12">
        <f t="shared" si="3"/>
        <v>2</v>
      </c>
      <c r="O20" s="13">
        <v>3</v>
      </c>
      <c r="P20" s="16">
        <v>3</v>
      </c>
      <c r="Q20" s="15">
        <f t="shared" si="5"/>
        <v>68</v>
      </c>
      <c r="R20" s="12">
        <f t="shared" si="6"/>
        <v>51</v>
      </c>
      <c r="S20" s="12">
        <f t="shared" si="7"/>
        <v>1</v>
      </c>
      <c r="T20" s="12">
        <f t="shared" si="8"/>
        <v>1</v>
      </c>
      <c r="U20" s="17">
        <f t="shared" si="9"/>
        <v>0.61261261261261257</v>
      </c>
      <c r="V20" s="17">
        <f t="shared" si="10"/>
        <v>0.45945945945945943</v>
      </c>
      <c r="W20" s="17">
        <f t="shared" si="11"/>
        <v>0.5</v>
      </c>
      <c r="X20" s="17">
        <f t="shared" si="12"/>
        <v>0.5</v>
      </c>
      <c r="Y20" s="18">
        <f>+IFERROR(VLOOKUP(A20,[1]Hoja1!$A:$B,2,0),0)</f>
        <v>24</v>
      </c>
      <c r="Z20" s="18">
        <f>+IFERROR(VLOOKUP(A20,[1]Hoja1!$D:$E,2,0),0)</f>
        <v>1</v>
      </c>
      <c r="AA20" s="18">
        <f t="shared" si="14"/>
        <v>68</v>
      </c>
      <c r="AB20" s="18">
        <f t="shared" si="14"/>
        <v>3</v>
      </c>
      <c r="AC20">
        <f t="shared" si="15"/>
        <v>0</v>
      </c>
      <c r="AD20">
        <f t="shared" si="16"/>
        <v>1</v>
      </c>
      <c r="AE20">
        <f t="shared" si="17"/>
        <v>0</v>
      </c>
      <c r="AF20" s="17">
        <f t="shared" si="13"/>
        <v>0.42783505154639173</v>
      </c>
      <c r="AG20" s="17">
        <f t="shared" si="18"/>
        <v>0.37988826815642457</v>
      </c>
      <c r="AH20" s="18">
        <f t="shared" si="19"/>
        <v>129</v>
      </c>
      <c r="AI20" s="18">
        <f t="shared" si="19"/>
        <v>5</v>
      </c>
      <c r="AJ20">
        <f t="shared" si="20"/>
        <v>0</v>
      </c>
      <c r="AK20">
        <f t="shared" si="21"/>
        <v>0</v>
      </c>
      <c r="AL20">
        <f t="shared" si="22"/>
        <v>0</v>
      </c>
      <c r="AM20" s="17">
        <f t="shared" si="23"/>
        <v>0.41509433962264153</v>
      </c>
      <c r="AN20" s="17">
        <f t="shared" si="24"/>
        <v>0.3782991202346041</v>
      </c>
      <c r="AO20" s="18" t="str">
        <f>+IFERROR(VLOOKUP(A20,[2]Rank!$B:$E,4,0),"No Ganador")</f>
        <v>No Ganador</v>
      </c>
      <c r="AP20" s="18">
        <f>+VLOOKUP(D20,[2]Departamento!$A$1:$B$16,2,0)</f>
        <v>2</v>
      </c>
      <c r="AQ20">
        <f t="shared" si="25"/>
        <v>0</v>
      </c>
    </row>
    <row r="21" spans="1:43" x14ac:dyDescent="0.3">
      <c r="A21" t="s">
        <v>97</v>
      </c>
      <c r="B21" t="s">
        <v>98</v>
      </c>
      <c r="C21" t="s">
        <v>43</v>
      </c>
      <c r="D21" t="s">
        <v>99</v>
      </c>
      <c r="E21" s="10" t="s">
        <v>57</v>
      </c>
      <c r="F21" s="10" t="s">
        <v>46</v>
      </c>
      <c r="G21" s="11">
        <v>81</v>
      </c>
      <c r="H21" s="12">
        <v>14.09090909090909</v>
      </c>
      <c r="I21" s="12">
        <f t="shared" si="0"/>
        <v>81</v>
      </c>
      <c r="J21" s="13">
        <f t="shared" si="27"/>
        <v>97</v>
      </c>
      <c r="K21" s="14">
        <f t="shared" si="2"/>
        <v>88</v>
      </c>
      <c r="L21" s="15">
        <v>0</v>
      </c>
      <c r="M21" s="12">
        <v>0</v>
      </c>
      <c r="N21" s="12">
        <f t="shared" si="3"/>
        <v>0</v>
      </c>
      <c r="O21" s="13">
        <v>1</v>
      </c>
      <c r="P21" s="16">
        <f t="shared" si="26"/>
        <v>1</v>
      </c>
      <c r="Q21" s="15">
        <f t="shared" si="5"/>
        <v>82.909090909090907</v>
      </c>
      <c r="R21" s="12">
        <f t="shared" si="6"/>
        <v>73.909090909090907</v>
      </c>
      <c r="S21" s="12">
        <f t="shared" si="7"/>
        <v>1</v>
      </c>
      <c r="T21" s="12">
        <f t="shared" si="8"/>
        <v>1</v>
      </c>
      <c r="U21" s="17">
        <f t="shared" si="9"/>
        <v>5.8838709677419363</v>
      </c>
      <c r="V21" s="17">
        <f t="shared" si="10"/>
        <v>5.2451612903225815</v>
      </c>
      <c r="W21" s="17" t="str">
        <f t="shared" si="11"/>
        <v>-</v>
      </c>
      <c r="X21" s="17">
        <f t="shared" si="12"/>
        <v>0</v>
      </c>
      <c r="Y21" s="18">
        <f>+IFERROR(VLOOKUP(A21,[1]Hoja1!$A:$B,2,0),0)</f>
        <v>62</v>
      </c>
      <c r="Z21" s="18">
        <f>+IFERROR(VLOOKUP(A21,[1]Hoja1!$D:$E,2,0),0)</f>
        <v>6</v>
      </c>
      <c r="AA21" s="18">
        <f t="shared" si="14"/>
        <v>175</v>
      </c>
      <c r="AB21" s="18">
        <f t="shared" si="14"/>
        <v>17</v>
      </c>
      <c r="AC21">
        <f t="shared" si="15"/>
        <v>1</v>
      </c>
      <c r="AD21">
        <f t="shared" si="16"/>
        <v>1</v>
      </c>
      <c r="AE21">
        <f t="shared" si="17"/>
        <v>1</v>
      </c>
      <c r="AF21" s="17">
        <f t="shared" si="13"/>
        <v>2.5490196078431371</v>
      </c>
      <c r="AG21" s="17">
        <f t="shared" si="18"/>
        <v>1.8041237113402062</v>
      </c>
      <c r="AH21" s="18">
        <f t="shared" si="19"/>
        <v>333</v>
      </c>
      <c r="AI21" s="18">
        <f t="shared" si="19"/>
        <v>32</v>
      </c>
      <c r="AJ21">
        <f t="shared" si="20"/>
        <v>1</v>
      </c>
      <c r="AK21">
        <f t="shared" si="21"/>
        <v>1</v>
      </c>
      <c r="AL21">
        <f t="shared" si="22"/>
        <v>1</v>
      </c>
      <c r="AM21" s="17">
        <f t="shared" si="23"/>
        <v>2.5282051282051281</v>
      </c>
      <c r="AN21" s="17">
        <f t="shared" si="24"/>
        <v>1.8</v>
      </c>
      <c r="AO21" s="18">
        <f>+IFERROR(VLOOKUP(A21,[2]Rank!$B:$E,4,0),"No Ganador")</f>
        <v>1</v>
      </c>
      <c r="AP21" s="18">
        <f>+VLOOKUP(D21,[2]Departamento!$A$1:$B$16,2,0)</f>
        <v>2</v>
      </c>
      <c r="AQ21">
        <f t="shared" si="25"/>
        <v>1</v>
      </c>
    </row>
    <row r="22" spans="1:43" x14ac:dyDescent="0.3">
      <c r="A22" t="s">
        <v>100</v>
      </c>
      <c r="B22" t="s">
        <v>101</v>
      </c>
      <c r="C22" t="s">
        <v>43</v>
      </c>
      <c r="D22" t="s">
        <v>78</v>
      </c>
      <c r="E22" s="10" t="s">
        <v>50</v>
      </c>
      <c r="F22" s="10" t="s">
        <v>51</v>
      </c>
      <c r="G22" s="11">
        <v>58</v>
      </c>
      <c r="H22" s="12">
        <v>55</v>
      </c>
      <c r="I22" s="12">
        <f t="shared" si="0"/>
        <v>58</v>
      </c>
      <c r="J22" s="13">
        <f t="shared" si="27"/>
        <v>70</v>
      </c>
      <c r="K22" s="14">
        <f t="shared" si="2"/>
        <v>63</v>
      </c>
      <c r="L22" s="15">
        <v>3</v>
      </c>
      <c r="M22" s="12">
        <v>4</v>
      </c>
      <c r="N22" s="12">
        <f t="shared" si="3"/>
        <v>4</v>
      </c>
      <c r="O22" s="13">
        <v>5</v>
      </c>
      <c r="P22" s="16">
        <f t="shared" si="26"/>
        <v>5</v>
      </c>
      <c r="Q22" s="15">
        <f t="shared" si="5"/>
        <v>15</v>
      </c>
      <c r="R22" s="12">
        <f t="shared" si="6"/>
        <v>8</v>
      </c>
      <c r="S22" s="12">
        <f t="shared" si="7"/>
        <v>1</v>
      </c>
      <c r="T22" s="12">
        <f t="shared" si="8"/>
        <v>1</v>
      </c>
      <c r="U22" s="17">
        <f t="shared" si="9"/>
        <v>0.27272727272727271</v>
      </c>
      <c r="V22" s="17">
        <f t="shared" si="10"/>
        <v>0.1454545454545455</v>
      </c>
      <c r="W22" s="17">
        <f t="shared" si="11"/>
        <v>0.25</v>
      </c>
      <c r="X22" s="17">
        <f t="shared" si="12"/>
        <v>0.25</v>
      </c>
      <c r="Y22" s="18">
        <f>+IFERROR(VLOOKUP(A22,[1]Hoja1!$A:$B,2,0),0)</f>
        <v>35</v>
      </c>
      <c r="Z22" s="18">
        <f>+IFERROR(VLOOKUP(A22,[1]Hoja1!$D:$E,2,0),0)</f>
        <v>2</v>
      </c>
      <c r="AA22" s="18">
        <f t="shared" si="14"/>
        <v>99</v>
      </c>
      <c r="AB22" s="18">
        <f t="shared" si="14"/>
        <v>6</v>
      </c>
      <c r="AC22">
        <f t="shared" si="15"/>
        <v>1</v>
      </c>
      <c r="AD22">
        <f t="shared" si="16"/>
        <v>1</v>
      </c>
      <c r="AE22">
        <f t="shared" si="17"/>
        <v>1</v>
      </c>
      <c r="AF22" s="17">
        <f t="shared" si="13"/>
        <v>1.3578947368421053</v>
      </c>
      <c r="AG22" s="17">
        <f t="shared" si="18"/>
        <v>1.4142857142857144</v>
      </c>
      <c r="AH22" s="18">
        <f t="shared" si="19"/>
        <v>188</v>
      </c>
      <c r="AI22" s="18">
        <f t="shared" si="19"/>
        <v>11</v>
      </c>
      <c r="AJ22">
        <f t="shared" si="20"/>
        <v>1</v>
      </c>
      <c r="AK22">
        <f t="shared" si="21"/>
        <v>1</v>
      </c>
      <c r="AL22">
        <f t="shared" si="22"/>
        <v>1</v>
      </c>
      <c r="AM22" s="17">
        <f t="shared" si="23"/>
        <v>1.3278688524590163</v>
      </c>
      <c r="AN22" s="17">
        <f t="shared" si="24"/>
        <v>1.4135338345864661</v>
      </c>
      <c r="AO22" s="18">
        <f>+IFERROR(VLOOKUP(A22,[2]Rank!$B:$E,4,0),"No Ganador")</f>
        <v>2</v>
      </c>
      <c r="AP22" s="18">
        <f>+VLOOKUP(D22,[2]Departamento!$A$1:$B$16,2,0)</f>
        <v>1</v>
      </c>
      <c r="AQ22">
        <f t="shared" si="25"/>
        <v>0</v>
      </c>
    </row>
    <row r="23" spans="1:43" x14ac:dyDescent="0.3">
      <c r="A23" t="s">
        <v>102</v>
      </c>
      <c r="B23" t="s">
        <v>103</v>
      </c>
      <c r="C23" t="s">
        <v>43</v>
      </c>
      <c r="D23" t="s">
        <v>87</v>
      </c>
      <c r="E23" s="10" t="s">
        <v>57</v>
      </c>
      <c r="F23" s="10" t="s">
        <v>58</v>
      </c>
      <c r="G23" s="11">
        <v>135</v>
      </c>
      <c r="H23" s="12">
        <v>73.27272727272728</v>
      </c>
      <c r="I23" s="12">
        <f t="shared" si="0"/>
        <v>135</v>
      </c>
      <c r="J23" s="13">
        <f t="shared" si="27"/>
        <v>162</v>
      </c>
      <c r="K23" s="14">
        <f t="shared" si="2"/>
        <v>146</v>
      </c>
      <c r="L23" s="15">
        <v>1</v>
      </c>
      <c r="M23" s="12">
        <v>1.4090909090909092</v>
      </c>
      <c r="N23" s="12">
        <f t="shared" si="3"/>
        <v>1.4090909090909092</v>
      </c>
      <c r="O23" s="13">
        <v>2</v>
      </c>
      <c r="P23" s="16">
        <f t="shared" si="26"/>
        <v>2</v>
      </c>
      <c r="Q23" s="15">
        <f t="shared" si="5"/>
        <v>88.72727272727272</v>
      </c>
      <c r="R23" s="12">
        <f t="shared" si="6"/>
        <v>72.72727272727272</v>
      </c>
      <c r="S23" s="12">
        <f t="shared" si="7"/>
        <v>0.59090909090909083</v>
      </c>
      <c r="T23" s="12">
        <f t="shared" si="8"/>
        <v>0.59090909090909083</v>
      </c>
      <c r="U23" s="17">
        <f t="shared" si="9"/>
        <v>1.2109181141439205</v>
      </c>
      <c r="V23" s="17">
        <f t="shared" si="10"/>
        <v>0.9925558312655085</v>
      </c>
      <c r="W23" s="17">
        <f t="shared" si="11"/>
        <v>0.41935483870967727</v>
      </c>
      <c r="X23" s="17">
        <f t="shared" si="12"/>
        <v>0.41935483870967727</v>
      </c>
      <c r="Y23" s="18">
        <f>+IFERROR(VLOOKUP(A23,[1]Hoja1!$A:$B,2,0),0)</f>
        <v>20</v>
      </c>
      <c r="Z23" s="18">
        <f>+IFERROR(VLOOKUP(A23,[1]Hoja1!$D:$E,2,0),0)</f>
        <v>0</v>
      </c>
      <c r="AA23" s="18">
        <f t="shared" si="14"/>
        <v>56</v>
      </c>
      <c r="AB23" s="18">
        <f t="shared" si="14"/>
        <v>0</v>
      </c>
      <c r="AC23">
        <f t="shared" si="15"/>
        <v>0</v>
      </c>
      <c r="AD23">
        <f t="shared" si="16"/>
        <v>0</v>
      </c>
      <c r="AE23">
        <f t="shared" si="17"/>
        <v>0</v>
      </c>
      <c r="AF23" s="17">
        <f t="shared" si="13"/>
        <v>0.32558139534883723</v>
      </c>
      <c r="AG23" s="17">
        <f t="shared" si="18"/>
        <v>0.34567901234567899</v>
      </c>
      <c r="AH23" s="18">
        <f t="shared" si="19"/>
        <v>107</v>
      </c>
      <c r="AI23" s="18">
        <f t="shared" si="19"/>
        <v>0</v>
      </c>
      <c r="AJ23">
        <f t="shared" si="20"/>
        <v>0</v>
      </c>
      <c r="AK23">
        <f t="shared" si="21"/>
        <v>0</v>
      </c>
      <c r="AL23">
        <f t="shared" si="22"/>
        <v>0</v>
      </c>
      <c r="AM23" s="17">
        <f t="shared" si="23"/>
        <v>0.32621951219512196</v>
      </c>
      <c r="AN23" s="17">
        <f t="shared" si="24"/>
        <v>0.34740259740259738</v>
      </c>
      <c r="AO23" s="18" t="str">
        <f>+IFERROR(VLOOKUP(A23,[2]Rank!$B:$E,4,0),"No Ganador")</f>
        <v>No Ganador</v>
      </c>
      <c r="AP23" s="18">
        <f>+VLOOKUP(D23,[2]Departamento!$A$1:$B$16,2,0)</f>
        <v>2</v>
      </c>
      <c r="AQ23">
        <f t="shared" si="25"/>
        <v>0</v>
      </c>
    </row>
    <row r="24" spans="1:43" x14ac:dyDescent="0.3">
      <c r="A24" t="s">
        <v>104</v>
      </c>
      <c r="B24" t="s">
        <v>105</v>
      </c>
      <c r="C24" t="s">
        <v>43</v>
      </c>
      <c r="D24" t="s">
        <v>99</v>
      </c>
      <c r="E24" s="10" t="s">
        <v>57</v>
      </c>
      <c r="F24" s="10" t="s">
        <v>46</v>
      </c>
      <c r="G24" s="11">
        <v>117</v>
      </c>
      <c r="H24" s="12">
        <v>57.772727272727266</v>
      </c>
      <c r="I24" s="12">
        <f t="shared" si="0"/>
        <v>117</v>
      </c>
      <c r="J24" s="13">
        <f t="shared" si="27"/>
        <v>140</v>
      </c>
      <c r="K24" s="14">
        <f t="shared" si="2"/>
        <v>126</v>
      </c>
      <c r="L24" s="15">
        <v>0</v>
      </c>
      <c r="M24" s="12">
        <v>0</v>
      </c>
      <c r="N24" s="12">
        <f t="shared" si="3"/>
        <v>0</v>
      </c>
      <c r="O24" s="13">
        <v>1</v>
      </c>
      <c r="P24" s="16">
        <f t="shared" si="26"/>
        <v>1</v>
      </c>
      <c r="Q24" s="15">
        <f t="shared" si="5"/>
        <v>82.227272727272734</v>
      </c>
      <c r="R24" s="12">
        <f t="shared" si="6"/>
        <v>68.227272727272734</v>
      </c>
      <c r="S24" s="12">
        <f t="shared" si="7"/>
        <v>1</v>
      </c>
      <c r="T24" s="12">
        <f t="shared" si="8"/>
        <v>1</v>
      </c>
      <c r="U24" s="17">
        <f t="shared" si="9"/>
        <v>1.4232887490165229</v>
      </c>
      <c r="V24" s="17">
        <f t="shared" si="10"/>
        <v>1.1809598741148704</v>
      </c>
      <c r="W24" s="17" t="str">
        <f t="shared" si="11"/>
        <v>-</v>
      </c>
      <c r="X24" s="17">
        <f t="shared" si="12"/>
        <v>0</v>
      </c>
      <c r="Y24" s="18">
        <f>+IFERROR(VLOOKUP(A24,[1]Hoja1!$A:$B,2,0),0)</f>
        <v>0</v>
      </c>
      <c r="Z24" s="18">
        <f>+IFERROR(VLOOKUP(A24,[1]Hoja1!$D:$E,2,0),0)</f>
        <v>0</v>
      </c>
      <c r="AA24" s="18">
        <f t="shared" si="14"/>
        <v>0</v>
      </c>
      <c r="AB24" s="18">
        <f t="shared" si="14"/>
        <v>0</v>
      </c>
      <c r="AC24">
        <f t="shared" si="15"/>
        <v>0</v>
      </c>
      <c r="AD24">
        <f t="shared" si="16"/>
        <v>0</v>
      </c>
      <c r="AE24">
        <f t="shared" si="17"/>
        <v>0</v>
      </c>
      <c r="AF24" s="17">
        <f t="shared" si="13"/>
        <v>0</v>
      </c>
      <c r="AG24" s="17">
        <f t="shared" si="18"/>
        <v>0</v>
      </c>
      <c r="AH24" s="18">
        <f t="shared" si="19"/>
        <v>0</v>
      </c>
      <c r="AI24" s="18">
        <f t="shared" si="19"/>
        <v>0</v>
      </c>
      <c r="AJ24">
        <f t="shared" si="20"/>
        <v>0</v>
      </c>
      <c r="AK24">
        <f t="shared" si="21"/>
        <v>0</v>
      </c>
      <c r="AL24">
        <f t="shared" si="22"/>
        <v>0</v>
      </c>
      <c r="AM24" s="17">
        <f t="shared" si="23"/>
        <v>0</v>
      </c>
      <c r="AN24" s="17">
        <f t="shared" si="24"/>
        <v>0</v>
      </c>
      <c r="AO24" s="18" t="str">
        <f>+IFERROR(VLOOKUP(A24,[2]Rank!$B:$E,4,0),"No Ganador")</f>
        <v>No Ganador</v>
      </c>
      <c r="AP24" s="18">
        <f>+VLOOKUP(D24,[2]Departamento!$A$1:$B$16,2,0)</f>
        <v>2</v>
      </c>
      <c r="AQ24">
        <f t="shared" si="25"/>
        <v>0</v>
      </c>
    </row>
    <row r="25" spans="1:43" x14ac:dyDescent="0.3">
      <c r="A25" t="s">
        <v>106</v>
      </c>
      <c r="B25" t="s">
        <v>107</v>
      </c>
      <c r="C25" t="s">
        <v>43</v>
      </c>
      <c r="D25" t="s">
        <v>99</v>
      </c>
      <c r="E25" s="10" t="s">
        <v>57</v>
      </c>
      <c r="F25" s="10" t="s">
        <v>46</v>
      </c>
      <c r="G25" s="11">
        <v>75</v>
      </c>
      <c r="H25" s="12">
        <v>126</v>
      </c>
      <c r="I25" s="12">
        <f t="shared" si="0"/>
        <v>126</v>
      </c>
      <c r="J25" s="13">
        <f t="shared" si="27"/>
        <v>151</v>
      </c>
      <c r="K25" s="14">
        <f t="shared" si="2"/>
        <v>136</v>
      </c>
      <c r="L25" s="15">
        <v>0</v>
      </c>
      <c r="M25" s="12">
        <v>0</v>
      </c>
      <c r="N25" s="12">
        <f t="shared" si="3"/>
        <v>0</v>
      </c>
      <c r="O25" s="13">
        <v>1</v>
      </c>
      <c r="P25" s="16">
        <v>1</v>
      </c>
      <c r="Q25" s="15">
        <f t="shared" si="5"/>
        <v>25</v>
      </c>
      <c r="R25" s="12">
        <f t="shared" si="6"/>
        <v>10</v>
      </c>
      <c r="S25" s="12">
        <f t="shared" si="7"/>
        <v>1</v>
      </c>
      <c r="T25" s="12">
        <f t="shared" si="8"/>
        <v>1</v>
      </c>
      <c r="U25" s="17">
        <f t="shared" si="9"/>
        <v>0.19841269841269837</v>
      </c>
      <c r="V25" s="17">
        <f t="shared" si="10"/>
        <v>7.9365079365079305E-2</v>
      </c>
      <c r="W25" s="17" t="str">
        <f t="shared" si="11"/>
        <v>-</v>
      </c>
      <c r="X25" s="17">
        <f t="shared" si="12"/>
        <v>0</v>
      </c>
      <c r="Y25" s="18">
        <f>+IFERROR(VLOOKUP(A25,[1]Hoja1!$A:$B,2,0),0)</f>
        <v>0</v>
      </c>
      <c r="Z25" s="18">
        <f>+IFERROR(VLOOKUP(A25,[1]Hoja1!$D:$E,2,0),0)</f>
        <v>0</v>
      </c>
      <c r="AA25" s="18">
        <f t="shared" si="14"/>
        <v>0</v>
      </c>
      <c r="AB25" s="18">
        <f t="shared" si="14"/>
        <v>0</v>
      </c>
      <c r="AC25">
        <f t="shared" si="15"/>
        <v>0</v>
      </c>
      <c r="AD25">
        <f t="shared" si="16"/>
        <v>0</v>
      </c>
      <c r="AE25">
        <f t="shared" si="17"/>
        <v>0</v>
      </c>
      <c r="AF25" s="17">
        <f t="shared" si="13"/>
        <v>0</v>
      </c>
      <c r="AG25" s="17">
        <f t="shared" si="18"/>
        <v>0</v>
      </c>
      <c r="AH25" s="18">
        <f t="shared" si="19"/>
        <v>0</v>
      </c>
      <c r="AI25" s="18">
        <f t="shared" si="19"/>
        <v>0</v>
      </c>
      <c r="AJ25">
        <f t="shared" si="20"/>
        <v>0</v>
      </c>
      <c r="AK25">
        <f t="shared" si="21"/>
        <v>0</v>
      </c>
      <c r="AL25">
        <f t="shared" si="22"/>
        <v>0</v>
      </c>
      <c r="AM25" s="17">
        <f t="shared" si="23"/>
        <v>0</v>
      </c>
      <c r="AN25" s="17">
        <f t="shared" si="24"/>
        <v>0</v>
      </c>
      <c r="AO25" s="18" t="str">
        <f>+IFERROR(VLOOKUP(A25,[2]Rank!$B:$E,4,0),"No Ganador")</f>
        <v>No Ganador</v>
      </c>
      <c r="AP25" s="18">
        <f>+VLOOKUP(D25,[2]Departamento!$A$1:$B$16,2,0)</f>
        <v>2</v>
      </c>
      <c r="AQ25">
        <f t="shared" si="25"/>
        <v>0</v>
      </c>
    </row>
    <row r="26" spans="1:43" x14ac:dyDescent="0.3">
      <c r="A26" t="s">
        <v>108</v>
      </c>
      <c r="B26" t="s">
        <v>109</v>
      </c>
      <c r="C26" t="s">
        <v>43</v>
      </c>
      <c r="D26" t="s">
        <v>110</v>
      </c>
      <c r="E26" s="10" t="s">
        <v>50</v>
      </c>
      <c r="F26" s="10" t="s">
        <v>51</v>
      </c>
      <c r="G26" s="11">
        <v>108</v>
      </c>
      <c r="H26" s="12">
        <v>53.545454545454547</v>
      </c>
      <c r="I26" s="12">
        <f t="shared" si="0"/>
        <v>108</v>
      </c>
      <c r="J26" s="13">
        <f t="shared" si="27"/>
        <v>130</v>
      </c>
      <c r="K26" s="14">
        <f t="shared" si="2"/>
        <v>117</v>
      </c>
      <c r="L26" s="15">
        <v>1</v>
      </c>
      <c r="M26" s="12">
        <v>0</v>
      </c>
      <c r="N26" s="12">
        <f t="shared" si="3"/>
        <v>1</v>
      </c>
      <c r="O26" s="13">
        <v>2</v>
      </c>
      <c r="P26" s="16">
        <f t="shared" si="26"/>
        <v>2</v>
      </c>
      <c r="Q26" s="15">
        <f t="shared" si="5"/>
        <v>76.454545454545453</v>
      </c>
      <c r="R26" s="12">
        <f t="shared" si="6"/>
        <v>63.454545454545453</v>
      </c>
      <c r="S26" s="12">
        <f t="shared" si="7"/>
        <v>2</v>
      </c>
      <c r="T26" s="12">
        <f t="shared" si="8"/>
        <v>2</v>
      </c>
      <c r="U26" s="17">
        <f t="shared" si="9"/>
        <v>1.4278438030560272</v>
      </c>
      <c r="V26" s="17">
        <f t="shared" si="10"/>
        <v>1.1850594227504243</v>
      </c>
      <c r="W26" s="17" t="str">
        <f t="shared" si="11"/>
        <v>-</v>
      </c>
      <c r="X26" s="17">
        <f t="shared" si="12"/>
        <v>0</v>
      </c>
      <c r="Y26" s="18">
        <f>+IFERROR(VLOOKUP(A26,[1]Hoja1!$A:$B,2,0),0)</f>
        <v>34</v>
      </c>
      <c r="Z26" s="18">
        <f>+IFERROR(VLOOKUP(A26,[1]Hoja1!$D:$E,2,0),0)</f>
        <v>2</v>
      </c>
      <c r="AA26" s="18">
        <f t="shared" si="14"/>
        <v>96</v>
      </c>
      <c r="AB26" s="18">
        <f t="shared" si="14"/>
        <v>6</v>
      </c>
      <c r="AC26">
        <f t="shared" si="15"/>
        <v>0</v>
      </c>
      <c r="AD26">
        <f t="shared" si="16"/>
        <v>1</v>
      </c>
      <c r="AE26">
        <f t="shared" si="17"/>
        <v>0</v>
      </c>
      <c r="AF26" s="17">
        <f t="shared" si="13"/>
        <v>0.9</v>
      </c>
      <c r="AG26" s="17">
        <f t="shared" si="18"/>
        <v>0.7384615384615385</v>
      </c>
      <c r="AH26" s="18">
        <f t="shared" si="19"/>
        <v>182</v>
      </c>
      <c r="AI26" s="18">
        <f t="shared" si="19"/>
        <v>11</v>
      </c>
      <c r="AJ26">
        <f t="shared" si="20"/>
        <v>0</v>
      </c>
      <c r="AK26">
        <f t="shared" si="21"/>
        <v>1</v>
      </c>
      <c r="AL26">
        <f t="shared" si="22"/>
        <v>0</v>
      </c>
      <c r="AM26" s="17">
        <f t="shared" si="23"/>
        <v>0.88764044943820219</v>
      </c>
      <c r="AN26" s="17">
        <f t="shared" si="24"/>
        <v>0.73684210526315785</v>
      </c>
      <c r="AO26" s="18" t="str">
        <f>+IFERROR(VLOOKUP(A26,[2]Rank!$B:$E,4,0),"No Ganador")</f>
        <v>No Ganador</v>
      </c>
      <c r="AP26" s="18">
        <f>+VLOOKUP(D26,[2]Departamento!$A$1:$B$16,2,0)</f>
        <v>1</v>
      </c>
      <c r="AQ26">
        <f t="shared" si="25"/>
        <v>0</v>
      </c>
    </row>
    <row r="27" spans="1:43" x14ac:dyDescent="0.3">
      <c r="A27" t="s">
        <v>111</v>
      </c>
      <c r="B27" t="s">
        <v>112</v>
      </c>
      <c r="C27" t="s">
        <v>43</v>
      </c>
      <c r="D27" t="s">
        <v>113</v>
      </c>
      <c r="E27" s="10" t="s">
        <v>69</v>
      </c>
      <c r="F27" s="10" t="s">
        <v>114</v>
      </c>
      <c r="G27" s="11">
        <v>128</v>
      </c>
      <c r="H27" s="12">
        <v>74.681818181818187</v>
      </c>
      <c r="I27" s="12">
        <f t="shared" si="0"/>
        <v>128</v>
      </c>
      <c r="J27" s="13">
        <f t="shared" si="27"/>
        <v>154</v>
      </c>
      <c r="K27" s="14">
        <f t="shared" si="2"/>
        <v>139</v>
      </c>
      <c r="L27" s="15">
        <v>2</v>
      </c>
      <c r="M27" s="12">
        <v>4.2272727272727266</v>
      </c>
      <c r="N27" s="12">
        <f t="shared" si="3"/>
        <v>4.2272727272727266</v>
      </c>
      <c r="O27" s="13">
        <v>5</v>
      </c>
      <c r="P27" s="16">
        <f t="shared" si="26"/>
        <v>5</v>
      </c>
      <c r="Q27" s="15">
        <f t="shared" si="5"/>
        <v>79.318181818181813</v>
      </c>
      <c r="R27" s="12">
        <f t="shared" si="6"/>
        <v>64.318181818181813</v>
      </c>
      <c r="S27" s="12">
        <f t="shared" si="7"/>
        <v>0.77272727272727337</v>
      </c>
      <c r="T27" s="12">
        <f t="shared" si="8"/>
        <v>0.77272727272727337</v>
      </c>
      <c r="U27" s="17">
        <f t="shared" si="9"/>
        <v>1.0620815581253802</v>
      </c>
      <c r="V27" s="17">
        <f t="shared" si="10"/>
        <v>0.86122945830797315</v>
      </c>
      <c r="W27" s="17">
        <f t="shared" si="11"/>
        <v>0.18279569892473146</v>
      </c>
      <c r="X27" s="17">
        <f t="shared" si="12"/>
        <v>0.18279569892473146</v>
      </c>
      <c r="Y27" s="18">
        <f>+IFERROR(VLOOKUP(A27,[1]Hoja1!$A:$B,2,0),0)</f>
        <v>69</v>
      </c>
      <c r="Z27" s="18">
        <f>+IFERROR(VLOOKUP(A27,[1]Hoja1!$D:$E,2,0),0)</f>
        <v>1</v>
      </c>
      <c r="AA27" s="18">
        <f t="shared" si="14"/>
        <v>194</v>
      </c>
      <c r="AB27" s="18">
        <f t="shared" si="14"/>
        <v>3</v>
      </c>
      <c r="AC27">
        <f t="shared" si="15"/>
        <v>1</v>
      </c>
      <c r="AD27">
        <f t="shared" si="16"/>
        <v>0</v>
      </c>
      <c r="AE27">
        <f t="shared" si="17"/>
        <v>0</v>
      </c>
      <c r="AF27" s="17">
        <f t="shared" si="13"/>
        <v>1.1675977653631284</v>
      </c>
      <c r="AG27" s="17">
        <f t="shared" si="18"/>
        <v>1.2597402597402598</v>
      </c>
      <c r="AH27" s="18">
        <f t="shared" si="19"/>
        <v>370</v>
      </c>
      <c r="AI27" s="18">
        <f t="shared" si="19"/>
        <v>5</v>
      </c>
      <c r="AJ27">
        <f t="shared" si="20"/>
        <v>1</v>
      </c>
      <c r="AK27">
        <f t="shared" si="21"/>
        <v>0</v>
      </c>
      <c r="AL27">
        <f t="shared" si="22"/>
        <v>0</v>
      </c>
      <c r="AM27" s="17">
        <f t="shared" si="23"/>
        <v>1.1516034985422741</v>
      </c>
      <c r="AN27" s="17">
        <f t="shared" si="24"/>
        <v>1.2627986348122866</v>
      </c>
      <c r="AO27" s="18" t="str">
        <f>+IFERROR(VLOOKUP(A27,[2]Rank!$B:$E,4,0),"No Ganador")</f>
        <v>No Ganador</v>
      </c>
      <c r="AP27" s="18">
        <f>+VLOOKUP(D27,[2]Departamento!$A$1:$B$16,2,0)</f>
        <v>1</v>
      </c>
      <c r="AQ27">
        <f t="shared" si="25"/>
        <v>0</v>
      </c>
    </row>
    <row r="28" spans="1:43" x14ac:dyDescent="0.3">
      <c r="A28" t="s">
        <v>115</v>
      </c>
      <c r="B28" t="s">
        <v>116</v>
      </c>
      <c r="C28" t="s">
        <v>43</v>
      </c>
      <c r="D28" t="s">
        <v>44</v>
      </c>
      <c r="E28" s="10" t="s">
        <v>45</v>
      </c>
      <c r="F28" s="10" t="s">
        <v>46</v>
      </c>
      <c r="G28" s="11">
        <v>85</v>
      </c>
      <c r="H28" s="12">
        <v>128</v>
      </c>
      <c r="I28" s="12">
        <f t="shared" si="0"/>
        <v>128</v>
      </c>
      <c r="J28" s="13">
        <f t="shared" si="27"/>
        <v>154</v>
      </c>
      <c r="K28" s="14">
        <f t="shared" si="2"/>
        <v>139</v>
      </c>
      <c r="L28" s="15">
        <v>0</v>
      </c>
      <c r="M28" s="12">
        <v>2</v>
      </c>
      <c r="N28" s="12">
        <f t="shared" si="3"/>
        <v>2</v>
      </c>
      <c r="O28" s="13">
        <v>3</v>
      </c>
      <c r="P28" s="16">
        <v>3</v>
      </c>
      <c r="Q28" s="15">
        <f t="shared" si="5"/>
        <v>26</v>
      </c>
      <c r="R28" s="12">
        <f t="shared" si="6"/>
        <v>11</v>
      </c>
      <c r="S28" s="12">
        <f t="shared" si="7"/>
        <v>1</v>
      </c>
      <c r="T28" s="12">
        <f t="shared" si="8"/>
        <v>1</v>
      </c>
      <c r="U28" s="17">
        <f t="shared" si="9"/>
        <v>0.203125</v>
      </c>
      <c r="V28" s="17">
        <f t="shared" si="10"/>
        <v>8.59375E-2</v>
      </c>
      <c r="W28" s="17">
        <f t="shared" si="11"/>
        <v>0.5</v>
      </c>
      <c r="X28" s="17">
        <f t="shared" si="12"/>
        <v>0.5</v>
      </c>
      <c r="Y28" s="18">
        <f>+IFERROR(VLOOKUP(A28,[1]Hoja1!$A:$B,2,0),0)</f>
        <v>59</v>
      </c>
      <c r="Z28" s="18">
        <f>+IFERROR(VLOOKUP(A28,[1]Hoja1!$D:$E,2,0),0)</f>
        <v>1</v>
      </c>
      <c r="AA28" s="18">
        <f t="shared" si="14"/>
        <v>166</v>
      </c>
      <c r="AB28" s="18">
        <f t="shared" si="14"/>
        <v>3</v>
      </c>
      <c r="AC28">
        <f t="shared" si="15"/>
        <v>1</v>
      </c>
      <c r="AD28">
        <f t="shared" si="16"/>
        <v>1</v>
      </c>
      <c r="AE28">
        <f t="shared" si="17"/>
        <v>1</v>
      </c>
      <c r="AF28" s="17">
        <f>+(AA28+(5*AB28))/(J28+(5*O28))</f>
        <v>1.0710059171597632</v>
      </c>
      <c r="AG28" s="17">
        <f t="shared" si="18"/>
        <v>1.0779220779220779</v>
      </c>
      <c r="AH28" s="18">
        <f t="shared" si="19"/>
        <v>316</v>
      </c>
      <c r="AI28" s="18">
        <f t="shared" si="19"/>
        <v>5</v>
      </c>
      <c r="AJ28">
        <f t="shared" si="20"/>
        <v>1</v>
      </c>
      <c r="AK28">
        <f t="shared" si="21"/>
        <v>0</v>
      </c>
      <c r="AL28">
        <f t="shared" si="22"/>
        <v>0</v>
      </c>
      <c r="AM28" s="17">
        <f t="shared" si="23"/>
        <v>1.0557275541795665</v>
      </c>
      <c r="AN28" s="17">
        <f t="shared" si="24"/>
        <v>1.0784982935153584</v>
      </c>
      <c r="AO28" s="18" t="str">
        <f>+IFERROR(VLOOKUP(A28,[2]Rank!$B:$E,4,0),"No Ganador")</f>
        <v>No Ganador</v>
      </c>
      <c r="AP28" s="18">
        <f>+VLOOKUP(D28,[2]Departamento!$A$1:$B$16,2,0)</f>
        <v>6</v>
      </c>
      <c r="AQ28">
        <f t="shared" si="25"/>
        <v>0</v>
      </c>
    </row>
    <row r="29" spans="1:43" x14ac:dyDescent="0.3">
      <c r="A29" t="s">
        <v>117</v>
      </c>
      <c r="B29" t="s">
        <v>118</v>
      </c>
      <c r="C29" t="s">
        <v>43</v>
      </c>
      <c r="D29" t="s">
        <v>119</v>
      </c>
      <c r="E29" s="10" t="s">
        <v>69</v>
      </c>
      <c r="F29" s="10" t="s">
        <v>114</v>
      </c>
      <c r="G29" s="11">
        <v>49</v>
      </c>
      <c r="H29" s="12">
        <v>19.727272727272727</v>
      </c>
      <c r="I29" s="12">
        <f t="shared" si="0"/>
        <v>49</v>
      </c>
      <c r="J29" s="13">
        <f t="shared" si="27"/>
        <v>59</v>
      </c>
      <c r="K29" s="14">
        <f t="shared" si="2"/>
        <v>53</v>
      </c>
      <c r="L29" s="15">
        <v>0</v>
      </c>
      <c r="M29" s="12">
        <v>0</v>
      </c>
      <c r="N29" s="12">
        <f t="shared" si="3"/>
        <v>0</v>
      </c>
      <c r="O29" s="13">
        <v>1</v>
      </c>
      <c r="P29" s="16">
        <f t="shared" ref="P29:P92" si="28">ROUND(O29/31*28,0)</f>
        <v>1</v>
      </c>
      <c r="Q29" s="15">
        <f t="shared" si="5"/>
        <v>39.272727272727273</v>
      </c>
      <c r="R29" s="12">
        <f t="shared" si="6"/>
        <v>33.272727272727273</v>
      </c>
      <c r="S29" s="12">
        <f t="shared" si="7"/>
        <v>1</v>
      </c>
      <c r="T29" s="12">
        <f t="shared" si="8"/>
        <v>1</v>
      </c>
      <c r="U29" s="17">
        <f t="shared" si="9"/>
        <v>1.9907834101382491</v>
      </c>
      <c r="V29" s="17">
        <f t="shared" si="10"/>
        <v>1.6866359447004609</v>
      </c>
      <c r="W29" s="17" t="str">
        <f t="shared" si="11"/>
        <v>-</v>
      </c>
      <c r="X29" s="17">
        <f t="shared" si="12"/>
        <v>0</v>
      </c>
      <c r="Y29" s="18">
        <f>+IFERROR(VLOOKUP(A29,[1]Hoja1!$A:$B,2,0),0)</f>
        <v>11</v>
      </c>
      <c r="Z29" s="18">
        <f>+IFERROR(VLOOKUP(A29,[1]Hoja1!$D:$E,2,0),0)</f>
        <v>0</v>
      </c>
      <c r="AA29" s="18">
        <f t="shared" si="14"/>
        <v>31</v>
      </c>
      <c r="AB29" s="18">
        <f t="shared" si="14"/>
        <v>0</v>
      </c>
      <c r="AC29">
        <f t="shared" si="15"/>
        <v>0</v>
      </c>
      <c r="AD29">
        <f t="shared" si="16"/>
        <v>0</v>
      </c>
      <c r="AE29">
        <f t="shared" si="17"/>
        <v>0</v>
      </c>
      <c r="AF29" s="17">
        <f t="shared" ref="AF29:AF92" si="29">+(AA29+(5*AB29))/(J29+(5*O29))</f>
        <v>0.484375</v>
      </c>
      <c r="AG29" s="17">
        <f t="shared" si="18"/>
        <v>0.52542372881355937</v>
      </c>
      <c r="AH29" s="18">
        <f t="shared" si="19"/>
        <v>59</v>
      </c>
      <c r="AI29" s="18">
        <f t="shared" si="19"/>
        <v>0</v>
      </c>
      <c r="AJ29">
        <f t="shared" si="20"/>
        <v>0</v>
      </c>
      <c r="AK29">
        <f t="shared" si="21"/>
        <v>0</v>
      </c>
      <c r="AL29">
        <f t="shared" si="22"/>
        <v>0</v>
      </c>
      <c r="AM29" s="17">
        <f t="shared" si="23"/>
        <v>0.48360655737704916</v>
      </c>
      <c r="AN29" s="17">
        <f t="shared" si="24"/>
        <v>0.5267857142857143</v>
      </c>
      <c r="AO29" s="18" t="str">
        <f>+IFERROR(VLOOKUP(A29,[2]Rank!$B:$E,4,0),"No Ganador")</f>
        <v>No Ganador</v>
      </c>
      <c r="AP29" s="18">
        <f>+VLOOKUP(D29,[2]Departamento!$A$1:$B$16,2,0)</f>
        <v>2</v>
      </c>
      <c r="AQ29">
        <f t="shared" si="25"/>
        <v>0</v>
      </c>
    </row>
    <row r="30" spans="1:43" x14ac:dyDescent="0.3">
      <c r="A30" t="s">
        <v>120</v>
      </c>
      <c r="B30" t="s">
        <v>121</v>
      </c>
      <c r="C30" t="s">
        <v>43</v>
      </c>
      <c r="D30" t="s">
        <v>119</v>
      </c>
      <c r="E30" s="10" t="s">
        <v>69</v>
      </c>
      <c r="F30" s="10" t="s">
        <v>114</v>
      </c>
      <c r="G30" s="11">
        <v>67</v>
      </c>
      <c r="H30" s="12">
        <v>38.045454545454547</v>
      </c>
      <c r="I30" s="12">
        <f t="shared" si="0"/>
        <v>67</v>
      </c>
      <c r="J30" s="13">
        <f t="shared" si="27"/>
        <v>80</v>
      </c>
      <c r="K30" s="14">
        <f t="shared" si="2"/>
        <v>72</v>
      </c>
      <c r="L30" s="15">
        <v>0</v>
      </c>
      <c r="M30" s="12">
        <v>1.4090909090909092</v>
      </c>
      <c r="N30" s="12">
        <f t="shared" si="3"/>
        <v>1.4090909090909092</v>
      </c>
      <c r="O30" s="13">
        <v>2</v>
      </c>
      <c r="P30" s="16">
        <f t="shared" si="28"/>
        <v>2</v>
      </c>
      <c r="Q30" s="15">
        <f t="shared" si="5"/>
        <v>41.954545454545453</v>
      </c>
      <c r="R30" s="12">
        <f t="shared" si="6"/>
        <v>33.954545454545453</v>
      </c>
      <c r="S30" s="12">
        <f t="shared" si="7"/>
        <v>0.59090909090909083</v>
      </c>
      <c r="T30" s="12">
        <f t="shared" si="8"/>
        <v>0.59090909090909083</v>
      </c>
      <c r="U30" s="17">
        <f t="shared" si="9"/>
        <v>1.1027479091995218</v>
      </c>
      <c r="V30" s="17">
        <f t="shared" si="10"/>
        <v>0.89247311827956977</v>
      </c>
      <c r="W30" s="17">
        <f t="shared" si="11"/>
        <v>0.41935483870967727</v>
      </c>
      <c r="X30" s="17">
        <f t="shared" si="12"/>
        <v>0.41935483870967727</v>
      </c>
      <c r="Y30" s="18">
        <f>+IFERROR(VLOOKUP(A30,[1]Hoja1!$A:$B,2,0),0)</f>
        <v>41</v>
      </c>
      <c r="Z30" s="18">
        <f>+IFERROR(VLOOKUP(A30,[1]Hoja1!$D:$E,2,0),0)</f>
        <v>0</v>
      </c>
      <c r="AA30" s="18">
        <f t="shared" si="14"/>
        <v>116</v>
      </c>
      <c r="AB30" s="18">
        <f t="shared" si="14"/>
        <v>0</v>
      </c>
      <c r="AC30">
        <f t="shared" si="15"/>
        <v>1</v>
      </c>
      <c r="AD30">
        <f t="shared" si="16"/>
        <v>0</v>
      </c>
      <c r="AE30">
        <f t="shared" si="17"/>
        <v>0</v>
      </c>
      <c r="AF30" s="17">
        <f t="shared" si="29"/>
        <v>1.288888888888889</v>
      </c>
      <c r="AG30" s="17">
        <f t="shared" si="18"/>
        <v>1.45</v>
      </c>
      <c r="AH30" s="18">
        <f t="shared" si="19"/>
        <v>220</v>
      </c>
      <c r="AI30" s="18">
        <f t="shared" si="19"/>
        <v>0</v>
      </c>
      <c r="AJ30">
        <f t="shared" si="20"/>
        <v>1</v>
      </c>
      <c r="AK30">
        <f t="shared" si="21"/>
        <v>0</v>
      </c>
      <c r="AL30">
        <f t="shared" si="22"/>
        <v>0</v>
      </c>
      <c r="AM30" s="17">
        <f t="shared" si="23"/>
        <v>1.2790697674418605</v>
      </c>
      <c r="AN30" s="17">
        <f t="shared" si="24"/>
        <v>1.4473684210526316</v>
      </c>
      <c r="AO30" s="18" t="str">
        <f>+IFERROR(VLOOKUP(A30,[2]Rank!$B:$E,4,0),"No Ganador")</f>
        <v>No Ganador</v>
      </c>
      <c r="AP30" s="18">
        <f>+VLOOKUP(D30,[2]Departamento!$A$1:$B$16,2,0)</f>
        <v>2</v>
      </c>
      <c r="AQ30">
        <f t="shared" si="25"/>
        <v>0</v>
      </c>
    </row>
    <row r="31" spans="1:43" x14ac:dyDescent="0.3">
      <c r="A31" t="s">
        <v>122</v>
      </c>
      <c r="B31" t="s">
        <v>123</v>
      </c>
      <c r="C31" t="s">
        <v>43</v>
      </c>
      <c r="D31" t="s">
        <v>90</v>
      </c>
      <c r="E31" s="10" t="s">
        <v>69</v>
      </c>
      <c r="F31" s="10" t="s">
        <v>75</v>
      </c>
      <c r="G31" s="11">
        <v>58</v>
      </c>
      <c r="H31" s="12">
        <v>33.818181818181813</v>
      </c>
      <c r="I31" s="12">
        <f t="shared" si="0"/>
        <v>58</v>
      </c>
      <c r="J31" s="13">
        <f t="shared" si="27"/>
        <v>70</v>
      </c>
      <c r="K31" s="14">
        <f t="shared" si="2"/>
        <v>63</v>
      </c>
      <c r="L31" s="15">
        <v>4</v>
      </c>
      <c r="M31" s="12">
        <v>0</v>
      </c>
      <c r="N31" s="12">
        <f t="shared" si="3"/>
        <v>4</v>
      </c>
      <c r="O31" s="13">
        <v>5</v>
      </c>
      <c r="P31" s="16">
        <v>4</v>
      </c>
      <c r="Q31" s="15">
        <f t="shared" si="5"/>
        <v>36.181818181818187</v>
      </c>
      <c r="R31" s="12">
        <f t="shared" si="6"/>
        <v>29.181818181818187</v>
      </c>
      <c r="S31" s="12">
        <f t="shared" si="7"/>
        <v>5</v>
      </c>
      <c r="T31" s="12">
        <f t="shared" si="8"/>
        <v>4</v>
      </c>
      <c r="U31" s="17">
        <f t="shared" si="9"/>
        <v>1.06989247311828</v>
      </c>
      <c r="V31" s="17">
        <f t="shared" si="10"/>
        <v>0.86290322580645196</v>
      </c>
      <c r="W31" s="17" t="str">
        <f t="shared" si="11"/>
        <v>-</v>
      </c>
      <c r="X31" s="17">
        <f t="shared" si="12"/>
        <v>0</v>
      </c>
      <c r="Y31" s="18">
        <f>+IFERROR(VLOOKUP(A31,[1]Hoja1!$A:$B,2,0),0)</f>
        <v>58</v>
      </c>
      <c r="Z31" s="18">
        <f>+IFERROR(VLOOKUP(A31,[1]Hoja1!$D:$E,2,0),0)</f>
        <v>3</v>
      </c>
      <c r="AA31" s="18">
        <f t="shared" si="14"/>
        <v>163</v>
      </c>
      <c r="AB31" s="18">
        <f t="shared" si="14"/>
        <v>8</v>
      </c>
      <c r="AC31">
        <f t="shared" si="15"/>
        <v>1</v>
      </c>
      <c r="AD31">
        <f t="shared" si="16"/>
        <v>1</v>
      </c>
      <c r="AE31">
        <f t="shared" si="17"/>
        <v>1</v>
      </c>
      <c r="AF31" s="17">
        <f t="shared" si="29"/>
        <v>2.1368421052631579</v>
      </c>
      <c r="AG31" s="17">
        <f t="shared" si="18"/>
        <v>2.3285714285714287</v>
      </c>
      <c r="AH31" s="18">
        <f t="shared" si="19"/>
        <v>311</v>
      </c>
      <c r="AI31" s="18">
        <f t="shared" si="19"/>
        <v>16</v>
      </c>
      <c r="AJ31">
        <f t="shared" si="20"/>
        <v>1</v>
      </c>
      <c r="AK31">
        <f t="shared" si="21"/>
        <v>1</v>
      </c>
      <c r="AL31">
        <f t="shared" si="22"/>
        <v>1</v>
      </c>
      <c r="AM31" s="17">
        <f t="shared" si="23"/>
        <v>2.196629213483146</v>
      </c>
      <c r="AN31" s="17">
        <f t="shared" si="24"/>
        <v>2.3383458646616542</v>
      </c>
      <c r="AO31" s="18">
        <f>+IFERROR(VLOOKUP(A31,[2]Rank!$B:$E,4,0),"No Ganador")</f>
        <v>2</v>
      </c>
      <c r="AP31" s="18">
        <f>+VLOOKUP(D31,[2]Departamento!$A$1:$B$16,2,0)</f>
        <v>2</v>
      </c>
      <c r="AQ31">
        <f t="shared" si="25"/>
        <v>1</v>
      </c>
    </row>
    <row r="32" spans="1:43" x14ac:dyDescent="0.3">
      <c r="A32" t="s">
        <v>124</v>
      </c>
      <c r="B32" t="s">
        <v>125</v>
      </c>
      <c r="C32" t="s">
        <v>43</v>
      </c>
      <c r="D32" t="s">
        <v>113</v>
      </c>
      <c r="E32" s="10" t="s">
        <v>69</v>
      </c>
      <c r="F32" s="10" t="s">
        <v>114</v>
      </c>
      <c r="G32" s="11">
        <v>40</v>
      </c>
      <c r="H32" s="12">
        <v>19.727272727272727</v>
      </c>
      <c r="I32" s="12">
        <f t="shared" si="0"/>
        <v>40</v>
      </c>
      <c r="J32" s="13">
        <f t="shared" si="27"/>
        <v>48</v>
      </c>
      <c r="K32" s="14">
        <f t="shared" si="2"/>
        <v>43</v>
      </c>
      <c r="L32" s="15">
        <v>4</v>
      </c>
      <c r="M32" s="12">
        <v>0</v>
      </c>
      <c r="N32" s="12">
        <f t="shared" si="3"/>
        <v>4</v>
      </c>
      <c r="O32" s="13">
        <v>5</v>
      </c>
      <c r="P32" s="16">
        <v>4</v>
      </c>
      <c r="Q32" s="15">
        <f t="shared" si="5"/>
        <v>28.272727272727273</v>
      </c>
      <c r="R32" s="12">
        <f t="shared" si="6"/>
        <v>23.272727272727273</v>
      </c>
      <c r="S32" s="12">
        <f t="shared" si="7"/>
        <v>5</v>
      </c>
      <c r="T32" s="12">
        <f t="shared" si="8"/>
        <v>4</v>
      </c>
      <c r="U32" s="17">
        <f t="shared" si="9"/>
        <v>1.4331797235023043</v>
      </c>
      <c r="V32" s="17">
        <f t="shared" si="10"/>
        <v>1.1797235023041477</v>
      </c>
      <c r="W32" s="17" t="str">
        <f t="shared" si="11"/>
        <v>-</v>
      </c>
      <c r="X32" s="17">
        <f t="shared" si="12"/>
        <v>0</v>
      </c>
      <c r="Y32" s="18">
        <f>+IFERROR(VLOOKUP(A32,[1]Hoja1!$A:$B,2,0),0)</f>
        <v>1</v>
      </c>
      <c r="Z32" s="18">
        <f>+IFERROR(VLOOKUP(A32,[1]Hoja1!$D:$E,2,0),0)</f>
        <v>0</v>
      </c>
      <c r="AA32" s="18">
        <f t="shared" si="14"/>
        <v>3</v>
      </c>
      <c r="AB32" s="18">
        <f t="shared" si="14"/>
        <v>0</v>
      </c>
      <c r="AC32">
        <f t="shared" si="15"/>
        <v>0</v>
      </c>
      <c r="AD32">
        <f t="shared" si="16"/>
        <v>0</v>
      </c>
      <c r="AE32">
        <f t="shared" si="17"/>
        <v>0</v>
      </c>
      <c r="AF32" s="17">
        <f t="shared" si="29"/>
        <v>4.1095890410958902E-2</v>
      </c>
      <c r="AG32" s="17">
        <f t="shared" si="18"/>
        <v>6.25E-2</v>
      </c>
      <c r="AH32" s="18">
        <f t="shared" si="19"/>
        <v>5</v>
      </c>
      <c r="AI32" s="18">
        <f t="shared" si="19"/>
        <v>0</v>
      </c>
      <c r="AJ32">
        <f t="shared" si="20"/>
        <v>0</v>
      </c>
      <c r="AK32">
        <f t="shared" si="21"/>
        <v>0</v>
      </c>
      <c r="AL32">
        <f t="shared" si="22"/>
        <v>0</v>
      </c>
      <c r="AM32" s="17">
        <f t="shared" si="23"/>
        <v>3.6764705882352942E-2</v>
      </c>
      <c r="AN32" s="17">
        <f t="shared" si="24"/>
        <v>5.4945054945054944E-2</v>
      </c>
      <c r="AO32" s="18" t="str">
        <f>+IFERROR(VLOOKUP(A32,[2]Rank!$B:$E,4,0),"No Ganador")</f>
        <v>No Ganador</v>
      </c>
      <c r="AP32" s="18">
        <f>+VLOOKUP(D32,[2]Departamento!$A$1:$B$16,2,0)</f>
        <v>1</v>
      </c>
      <c r="AQ32">
        <f t="shared" si="25"/>
        <v>0</v>
      </c>
    </row>
    <row r="33" spans="1:43" x14ac:dyDescent="0.3">
      <c r="A33" t="s">
        <v>126</v>
      </c>
      <c r="B33" t="s">
        <v>127</v>
      </c>
      <c r="C33" t="s">
        <v>43</v>
      </c>
      <c r="D33" t="s">
        <v>113</v>
      </c>
      <c r="E33" s="10" t="s">
        <v>69</v>
      </c>
      <c r="F33" s="10" t="s">
        <v>114</v>
      </c>
      <c r="G33" s="11">
        <v>40</v>
      </c>
      <c r="H33" s="12">
        <v>19.727272727272727</v>
      </c>
      <c r="I33" s="12">
        <f t="shared" si="0"/>
        <v>40</v>
      </c>
      <c r="J33" s="13">
        <f t="shared" si="27"/>
        <v>48</v>
      </c>
      <c r="K33" s="14">
        <f t="shared" si="2"/>
        <v>43</v>
      </c>
      <c r="L33" s="15">
        <v>6</v>
      </c>
      <c r="M33" s="12">
        <v>2.8181818181818183</v>
      </c>
      <c r="N33" s="12">
        <f t="shared" si="3"/>
        <v>6</v>
      </c>
      <c r="O33" s="13">
        <v>7</v>
      </c>
      <c r="P33" s="16">
        <f t="shared" si="28"/>
        <v>6</v>
      </c>
      <c r="Q33" s="15">
        <f t="shared" si="5"/>
        <v>28.272727272727273</v>
      </c>
      <c r="R33" s="12">
        <f t="shared" si="6"/>
        <v>23.272727272727273</v>
      </c>
      <c r="S33" s="12">
        <f t="shared" si="7"/>
        <v>4.1818181818181817</v>
      </c>
      <c r="T33" s="12">
        <f t="shared" si="8"/>
        <v>3.1818181818181817</v>
      </c>
      <c r="U33" s="17">
        <f t="shared" si="9"/>
        <v>1.4331797235023043</v>
      </c>
      <c r="V33" s="17">
        <f t="shared" si="10"/>
        <v>1.1797235023041477</v>
      </c>
      <c r="W33" s="17">
        <f t="shared" si="11"/>
        <v>1.4838709677419355</v>
      </c>
      <c r="X33" s="17">
        <f t="shared" si="12"/>
        <v>1.129032258064516</v>
      </c>
      <c r="Y33" s="18">
        <f>+IFERROR(VLOOKUP(A33,[1]Hoja1!$A:$B,2,0),0)</f>
        <v>9</v>
      </c>
      <c r="Z33" s="18">
        <f>+IFERROR(VLOOKUP(A33,[1]Hoja1!$D:$E,2,0),0)</f>
        <v>1</v>
      </c>
      <c r="AA33" s="18">
        <f t="shared" si="14"/>
        <v>25</v>
      </c>
      <c r="AB33" s="18">
        <f t="shared" si="14"/>
        <v>3</v>
      </c>
      <c r="AC33">
        <f t="shared" si="15"/>
        <v>0</v>
      </c>
      <c r="AD33">
        <f t="shared" si="16"/>
        <v>0</v>
      </c>
      <c r="AE33">
        <f t="shared" si="17"/>
        <v>0</v>
      </c>
      <c r="AF33" s="17">
        <f t="shared" si="29"/>
        <v>0.48192771084337349</v>
      </c>
      <c r="AG33" s="17">
        <f t="shared" si="18"/>
        <v>0.52083333333333337</v>
      </c>
      <c r="AH33" s="18">
        <f t="shared" si="19"/>
        <v>48</v>
      </c>
      <c r="AI33" s="18">
        <f t="shared" si="19"/>
        <v>5</v>
      </c>
      <c r="AJ33">
        <f t="shared" si="20"/>
        <v>0</v>
      </c>
      <c r="AK33">
        <f t="shared" si="21"/>
        <v>0</v>
      </c>
      <c r="AL33">
        <f t="shared" si="22"/>
        <v>0</v>
      </c>
      <c r="AM33" s="17">
        <f t="shared" si="23"/>
        <v>0.46794871794871795</v>
      </c>
      <c r="AN33" s="17">
        <f t="shared" si="24"/>
        <v>0.52747252747252749</v>
      </c>
      <c r="AO33" s="18" t="str">
        <f>+IFERROR(VLOOKUP(A33,[2]Rank!$B:$E,4,0),"No Ganador")</f>
        <v>No Ganador</v>
      </c>
      <c r="AP33" s="18">
        <f>+VLOOKUP(D33,[2]Departamento!$A$1:$B$16,2,0)</f>
        <v>1</v>
      </c>
      <c r="AQ33">
        <f t="shared" si="25"/>
        <v>0</v>
      </c>
    </row>
    <row r="34" spans="1:43" x14ac:dyDescent="0.3">
      <c r="A34" t="s">
        <v>128</v>
      </c>
      <c r="B34" t="s">
        <v>129</v>
      </c>
      <c r="C34" t="s">
        <v>43</v>
      </c>
      <c r="D34" t="s">
        <v>130</v>
      </c>
      <c r="E34" s="10" t="s">
        <v>57</v>
      </c>
      <c r="F34" s="10" t="s">
        <v>58</v>
      </c>
      <c r="G34" s="11">
        <v>495</v>
      </c>
      <c r="H34" s="12">
        <v>349.4545454545455</v>
      </c>
      <c r="I34" s="12">
        <f t="shared" si="0"/>
        <v>495</v>
      </c>
      <c r="J34" s="13">
        <f t="shared" si="27"/>
        <v>594</v>
      </c>
      <c r="K34" s="14">
        <f t="shared" si="2"/>
        <v>537</v>
      </c>
      <c r="L34" s="15">
        <v>4</v>
      </c>
      <c r="M34" s="12">
        <v>4.2272727272727266</v>
      </c>
      <c r="N34" s="12">
        <f t="shared" si="3"/>
        <v>4.2272727272727266</v>
      </c>
      <c r="O34" s="13">
        <v>5</v>
      </c>
      <c r="P34" s="16">
        <f t="shared" si="28"/>
        <v>5</v>
      </c>
      <c r="Q34" s="15">
        <f t="shared" si="5"/>
        <v>244.5454545454545</v>
      </c>
      <c r="R34" s="12">
        <f t="shared" si="6"/>
        <v>187.5454545454545</v>
      </c>
      <c r="S34" s="12">
        <f t="shared" si="7"/>
        <v>0.77272727272727337</v>
      </c>
      <c r="T34" s="12">
        <f t="shared" si="8"/>
        <v>0.77272727272727337</v>
      </c>
      <c r="U34" s="17">
        <f t="shared" si="9"/>
        <v>0.69979188345473453</v>
      </c>
      <c r="V34" s="17">
        <f t="shared" si="10"/>
        <v>0.53668054110301755</v>
      </c>
      <c r="W34" s="17">
        <f t="shared" si="11"/>
        <v>0.18279569892473146</v>
      </c>
      <c r="X34" s="17">
        <f t="shared" si="12"/>
        <v>0.18279569892473146</v>
      </c>
      <c r="Y34" s="18">
        <f>+IFERROR(VLOOKUP(A34,[1]Hoja1!$A:$B,2,0),0)</f>
        <v>85</v>
      </c>
      <c r="Z34" s="18">
        <f>+IFERROR(VLOOKUP(A34,[1]Hoja1!$D:$E,2,0),0)</f>
        <v>8</v>
      </c>
      <c r="AA34" s="18">
        <f t="shared" si="14"/>
        <v>240</v>
      </c>
      <c r="AB34" s="18">
        <f t="shared" si="14"/>
        <v>23</v>
      </c>
      <c r="AC34">
        <f t="shared" si="15"/>
        <v>0</v>
      </c>
      <c r="AD34">
        <f t="shared" si="16"/>
        <v>1</v>
      </c>
      <c r="AE34">
        <f t="shared" si="17"/>
        <v>0</v>
      </c>
      <c r="AF34" s="17">
        <f t="shared" si="29"/>
        <v>0.57350565428109856</v>
      </c>
      <c r="AG34" s="17">
        <f t="shared" si="18"/>
        <v>0.40404040404040403</v>
      </c>
      <c r="AH34" s="18">
        <f t="shared" si="19"/>
        <v>456</v>
      </c>
      <c r="AI34" s="18">
        <f t="shared" si="19"/>
        <v>43</v>
      </c>
      <c r="AJ34">
        <f t="shared" si="20"/>
        <v>0</v>
      </c>
      <c r="AK34">
        <f t="shared" si="21"/>
        <v>1</v>
      </c>
      <c r="AL34">
        <f t="shared" si="22"/>
        <v>0</v>
      </c>
      <c r="AM34" s="17">
        <f t="shared" si="23"/>
        <v>0.56816257408975446</v>
      </c>
      <c r="AN34" s="17">
        <f t="shared" si="24"/>
        <v>0.40318302387267907</v>
      </c>
      <c r="AO34" s="18" t="str">
        <f>+IFERROR(VLOOKUP(A34,[2]Rank!$B:$E,4,0),"No Ganador")</f>
        <v>No Ganador</v>
      </c>
      <c r="AP34" s="18">
        <f>+VLOOKUP(D34,[2]Departamento!$A$1:$B$16,2,0)</f>
        <v>1</v>
      </c>
      <c r="AQ34">
        <f t="shared" si="25"/>
        <v>0</v>
      </c>
    </row>
    <row r="35" spans="1:43" x14ac:dyDescent="0.3">
      <c r="A35" t="s">
        <v>131</v>
      </c>
      <c r="B35" t="s">
        <v>132</v>
      </c>
      <c r="C35" t="s">
        <v>43</v>
      </c>
      <c r="D35" t="s">
        <v>44</v>
      </c>
      <c r="E35" s="10" t="s">
        <v>45</v>
      </c>
      <c r="F35" s="10" t="s">
        <v>63</v>
      </c>
      <c r="G35" s="11">
        <v>329</v>
      </c>
      <c r="H35" s="12">
        <v>232.5</v>
      </c>
      <c r="I35" s="12">
        <f t="shared" si="0"/>
        <v>329</v>
      </c>
      <c r="J35" s="13">
        <f t="shared" si="27"/>
        <v>395</v>
      </c>
      <c r="K35" s="14">
        <f t="shared" si="2"/>
        <v>357</v>
      </c>
      <c r="L35" s="15">
        <v>17</v>
      </c>
      <c r="M35" s="12">
        <v>12.681818181818183</v>
      </c>
      <c r="N35" s="12">
        <f t="shared" si="3"/>
        <v>17</v>
      </c>
      <c r="O35" s="13">
        <v>20</v>
      </c>
      <c r="P35" s="16">
        <f t="shared" si="28"/>
        <v>18</v>
      </c>
      <c r="Q35" s="15">
        <f t="shared" si="5"/>
        <v>162.5</v>
      </c>
      <c r="R35" s="12">
        <f t="shared" si="6"/>
        <v>124.5</v>
      </c>
      <c r="S35" s="12">
        <f t="shared" si="7"/>
        <v>7.3181818181818166</v>
      </c>
      <c r="T35" s="12">
        <f t="shared" si="8"/>
        <v>5.3181818181818166</v>
      </c>
      <c r="U35" s="17">
        <f t="shared" si="9"/>
        <v>0.69892473118279574</v>
      </c>
      <c r="V35" s="17">
        <f t="shared" si="10"/>
        <v>0.53548387096774186</v>
      </c>
      <c r="W35" s="17">
        <f t="shared" si="11"/>
        <v>0.57706093189964136</v>
      </c>
      <c r="X35" s="17">
        <f t="shared" si="12"/>
        <v>0.41935483870967727</v>
      </c>
      <c r="Y35" s="18">
        <f>+IFERROR(VLOOKUP(A35,[1]Hoja1!$A:$B,2,0),0)</f>
        <v>143</v>
      </c>
      <c r="Z35" s="18">
        <f>+IFERROR(VLOOKUP(A35,[1]Hoja1!$D:$E,2,0),0)</f>
        <v>13</v>
      </c>
      <c r="AA35" s="18">
        <f t="shared" si="14"/>
        <v>403</v>
      </c>
      <c r="AB35" s="18">
        <f t="shared" si="14"/>
        <v>37</v>
      </c>
      <c r="AC35">
        <f t="shared" si="15"/>
        <v>1</v>
      </c>
      <c r="AD35">
        <f t="shared" si="16"/>
        <v>1</v>
      </c>
      <c r="AE35">
        <f t="shared" si="17"/>
        <v>1</v>
      </c>
      <c r="AF35" s="17">
        <f t="shared" si="29"/>
        <v>1.187878787878788</v>
      </c>
      <c r="AG35" s="17">
        <f t="shared" si="18"/>
        <v>1.0202531645569621</v>
      </c>
      <c r="AH35" s="18">
        <f t="shared" si="19"/>
        <v>767</v>
      </c>
      <c r="AI35" s="18">
        <f t="shared" si="19"/>
        <v>70</v>
      </c>
      <c r="AJ35">
        <f t="shared" si="20"/>
        <v>1</v>
      </c>
      <c r="AK35">
        <f t="shared" si="21"/>
        <v>1</v>
      </c>
      <c r="AL35">
        <f t="shared" si="22"/>
        <v>1</v>
      </c>
      <c r="AM35" s="17">
        <f t="shared" si="23"/>
        <v>1.1857749469214438</v>
      </c>
      <c r="AN35" s="17">
        <f t="shared" si="24"/>
        <v>1.0199468085106382</v>
      </c>
      <c r="AO35" s="18">
        <f>+IFERROR(VLOOKUP(A35,[2]Rank!$B:$E,4,0),"No Ganador")</f>
        <v>13</v>
      </c>
      <c r="AP35" s="18">
        <f>+VLOOKUP(D35,[2]Departamento!$A$1:$B$16,2,0)</f>
        <v>6</v>
      </c>
      <c r="AQ35">
        <f t="shared" si="25"/>
        <v>0</v>
      </c>
    </row>
    <row r="36" spans="1:43" x14ac:dyDescent="0.3">
      <c r="A36" t="s">
        <v>133</v>
      </c>
      <c r="B36" t="s">
        <v>134</v>
      </c>
      <c r="C36" t="s">
        <v>43</v>
      </c>
      <c r="D36" t="s">
        <v>87</v>
      </c>
      <c r="E36" s="10" t="s">
        <v>57</v>
      </c>
      <c r="F36" s="10" t="s">
        <v>58</v>
      </c>
      <c r="G36" s="11">
        <v>682</v>
      </c>
      <c r="H36" s="12">
        <v>579.13636363636374</v>
      </c>
      <c r="I36" s="12">
        <f t="shared" si="0"/>
        <v>682</v>
      </c>
      <c r="J36" s="13">
        <f t="shared" si="27"/>
        <v>818</v>
      </c>
      <c r="K36" s="14">
        <f t="shared" si="2"/>
        <v>739</v>
      </c>
      <c r="L36" s="15">
        <v>2</v>
      </c>
      <c r="M36" s="12">
        <v>5.6363636363636367</v>
      </c>
      <c r="N36" s="12">
        <f t="shared" si="3"/>
        <v>5.6363636363636367</v>
      </c>
      <c r="O36" s="13">
        <v>7</v>
      </c>
      <c r="P36" s="16">
        <f t="shared" si="28"/>
        <v>6</v>
      </c>
      <c r="Q36" s="15">
        <f t="shared" si="5"/>
        <v>238.86363636363626</v>
      </c>
      <c r="R36" s="12">
        <f t="shared" si="6"/>
        <v>159.86363636363626</v>
      </c>
      <c r="S36" s="12">
        <f t="shared" si="7"/>
        <v>1.3636363636363633</v>
      </c>
      <c r="T36" s="12">
        <f t="shared" si="8"/>
        <v>0.36363636363636331</v>
      </c>
      <c r="U36" s="17">
        <f t="shared" si="9"/>
        <v>0.41244800251157665</v>
      </c>
      <c r="V36" s="17">
        <f t="shared" si="10"/>
        <v>0.27603798759908926</v>
      </c>
      <c r="W36" s="17">
        <f t="shared" si="11"/>
        <v>0.24193548387096775</v>
      </c>
      <c r="X36" s="17">
        <f t="shared" si="12"/>
        <v>6.4516129032258007E-2</v>
      </c>
      <c r="Y36" s="18">
        <f>+IFERROR(VLOOKUP(A36,[1]Hoja1!$A:$B,2,0),0)</f>
        <v>134</v>
      </c>
      <c r="Z36" s="18">
        <f>+IFERROR(VLOOKUP(A36,[1]Hoja1!$D:$E,2,0),0)</f>
        <v>1</v>
      </c>
      <c r="AA36" s="18">
        <f t="shared" si="14"/>
        <v>378</v>
      </c>
      <c r="AB36" s="18">
        <f t="shared" si="14"/>
        <v>3</v>
      </c>
      <c r="AC36">
        <f t="shared" si="15"/>
        <v>0</v>
      </c>
      <c r="AD36">
        <f t="shared" si="16"/>
        <v>0</v>
      </c>
      <c r="AE36">
        <f t="shared" si="17"/>
        <v>0</v>
      </c>
      <c r="AF36" s="17">
        <f t="shared" si="29"/>
        <v>0.46072684642438455</v>
      </c>
      <c r="AG36" s="17">
        <f t="shared" si="18"/>
        <v>0.46210268948655259</v>
      </c>
      <c r="AH36" s="18">
        <f t="shared" si="19"/>
        <v>719</v>
      </c>
      <c r="AI36" s="18">
        <f t="shared" si="19"/>
        <v>5</v>
      </c>
      <c r="AJ36">
        <f t="shared" si="20"/>
        <v>0</v>
      </c>
      <c r="AK36">
        <f t="shared" si="21"/>
        <v>0</v>
      </c>
      <c r="AL36">
        <f t="shared" si="22"/>
        <v>0</v>
      </c>
      <c r="AM36" s="17">
        <f t="shared" si="23"/>
        <v>0.45869297163995065</v>
      </c>
      <c r="AN36" s="17">
        <f t="shared" si="24"/>
        <v>0.46178548490687221</v>
      </c>
      <c r="AO36" s="18" t="str">
        <f>+IFERROR(VLOOKUP(A36,[2]Rank!$B:$E,4,0),"No Ganador")</f>
        <v>No Ganador</v>
      </c>
      <c r="AP36" s="18">
        <f>+VLOOKUP(D36,[2]Departamento!$A$1:$B$16,2,0)</f>
        <v>2</v>
      </c>
      <c r="AQ36">
        <f t="shared" si="25"/>
        <v>0</v>
      </c>
    </row>
    <row r="37" spans="1:43" x14ac:dyDescent="0.3">
      <c r="A37" t="s">
        <v>135</v>
      </c>
      <c r="B37" t="s">
        <v>136</v>
      </c>
      <c r="C37" t="s">
        <v>43</v>
      </c>
      <c r="D37" t="s">
        <v>68</v>
      </c>
      <c r="E37" s="10" t="s">
        <v>69</v>
      </c>
      <c r="F37" s="10" t="s">
        <v>46</v>
      </c>
      <c r="G37" s="11">
        <v>135</v>
      </c>
      <c r="H37" s="12">
        <v>183</v>
      </c>
      <c r="I37" s="12">
        <f t="shared" si="0"/>
        <v>183</v>
      </c>
      <c r="J37" s="13">
        <f t="shared" si="27"/>
        <v>220</v>
      </c>
      <c r="K37" s="14">
        <f t="shared" si="2"/>
        <v>199</v>
      </c>
      <c r="L37" s="15">
        <v>7</v>
      </c>
      <c r="M37" s="12">
        <v>10</v>
      </c>
      <c r="N37" s="12">
        <f t="shared" si="3"/>
        <v>10</v>
      </c>
      <c r="O37" s="13">
        <v>12</v>
      </c>
      <c r="P37" s="16">
        <f t="shared" si="28"/>
        <v>11</v>
      </c>
      <c r="Q37" s="15">
        <f t="shared" si="5"/>
        <v>37</v>
      </c>
      <c r="R37" s="12">
        <f t="shared" si="6"/>
        <v>16</v>
      </c>
      <c r="S37" s="12">
        <f t="shared" si="7"/>
        <v>2</v>
      </c>
      <c r="T37" s="12">
        <f t="shared" si="8"/>
        <v>1</v>
      </c>
      <c r="U37" s="17">
        <f t="shared" si="9"/>
        <v>0.20218579234972678</v>
      </c>
      <c r="V37" s="17">
        <f t="shared" si="10"/>
        <v>8.7431693989071135E-2</v>
      </c>
      <c r="W37" s="17">
        <f t="shared" si="11"/>
        <v>0.19999999999999996</v>
      </c>
      <c r="X37" s="17">
        <f t="shared" si="12"/>
        <v>0.10000000000000009</v>
      </c>
      <c r="Y37" s="18">
        <f>+IFERROR(VLOOKUP(A37,[1]Hoja1!$A:$B,2,0),0)</f>
        <v>87</v>
      </c>
      <c r="Z37" s="18">
        <f>+IFERROR(VLOOKUP(A37,[1]Hoja1!$D:$E,2,0),0)</f>
        <v>6</v>
      </c>
      <c r="AA37" s="18">
        <f t="shared" si="14"/>
        <v>245</v>
      </c>
      <c r="AB37" s="18">
        <f t="shared" si="14"/>
        <v>17</v>
      </c>
      <c r="AC37">
        <f t="shared" si="15"/>
        <v>1</v>
      </c>
      <c r="AD37">
        <f t="shared" si="16"/>
        <v>1</v>
      </c>
      <c r="AE37">
        <f t="shared" si="17"/>
        <v>1</v>
      </c>
      <c r="AF37" s="17">
        <f t="shared" si="29"/>
        <v>1.1785714285714286</v>
      </c>
      <c r="AG37" s="17">
        <f t="shared" si="18"/>
        <v>1.1136363636363635</v>
      </c>
      <c r="AH37" s="18">
        <f t="shared" si="19"/>
        <v>467</v>
      </c>
      <c r="AI37" s="18">
        <f t="shared" si="19"/>
        <v>32</v>
      </c>
      <c r="AJ37">
        <f t="shared" si="20"/>
        <v>1</v>
      </c>
      <c r="AK37">
        <f t="shared" si="21"/>
        <v>1</v>
      </c>
      <c r="AL37">
        <f t="shared" si="22"/>
        <v>1</v>
      </c>
      <c r="AM37" s="17">
        <f t="shared" si="23"/>
        <v>1.1741573033707866</v>
      </c>
      <c r="AN37" s="17">
        <f t="shared" si="24"/>
        <v>1.1145584725536992</v>
      </c>
      <c r="AO37" s="18">
        <f>+IFERROR(VLOOKUP(A37,[2]Rank!$B:$E,4,0),"No Ganador")</f>
        <v>1</v>
      </c>
      <c r="AP37" s="18">
        <f>+VLOOKUP(D37,[2]Departamento!$A$1:$B$16,2,0)</f>
        <v>2</v>
      </c>
      <c r="AQ37">
        <f t="shared" si="25"/>
        <v>1</v>
      </c>
    </row>
    <row r="38" spans="1:43" x14ac:dyDescent="0.3">
      <c r="A38" t="s">
        <v>137</v>
      </c>
      <c r="B38" t="s">
        <v>138</v>
      </c>
      <c r="C38" t="s">
        <v>43</v>
      </c>
      <c r="D38" t="s">
        <v>74</v>
      </c>
      <c r="E38" s="10" t="s">
        <v>57</v>
      </c>
      <c r="F38" s="10" t="s">
        <v>75</v>
      </c>
      <c r="G38" s="11">
        <v>216</v>
      </c>
      <c r="H38" s="12">
        <v>142.31818181818181</v>
      </c>
      <c r="I38" s="12">
        <f t="shared" si="0"/>
        <v>216</v>
      </c>
      <c r="J38" s="13">
        <f t="shared" si="27"/>
        <v>259</v>
      </c>
      <c r="K38" s="14">
        <f t="shared" si="2"/>
        <v>234</v>
      </c>
      <c r="L38" s="15">
        <v>32</v>
      </c>
      <c r="M38" s="12">
        <v>50.727272727272734</v>
      </c>
      <c r="N38" s="12">
        <f t="shared" si="3"/>
        <v>50.727272727272734</v>
      </c>
      <c r="O38" s="13">
        <v>61</v>
      </c>
      <c r="P38" s="16">
        <f t="shared" si="28"/>
        <v>55</v>
      </c>
      <c r="Q38" s="15">
        <f t="shared" si="5"/>
        <v>116.68181818181819</v>
      </c>
      <c r="R38" s="12">
        <f t="shared" si="6"/>
        <v>91.681818181818187</v>
      </c>
      <c r="S38" s="12">
        <f t="shared" si="7"/>
        <v>10.272727272727266</v>
      </c>
      <c r="T38" s="12">
        <f t="shared" si="8"/>
        <v>4.2727272727272663</v>
      </c>
      <c r="U38" s="17">
        <f t="shared" si="9"/>
        <v>0.81986585755349739</v>
      </c>
      <c r="V38" s="17">
        <f t="shared" si="10"/>
        <v>0.64420312999041851</v>
      </c>
      <c r="W38" s="17">
        <f t="shared" si="11"/>
        <v>0.20250896057347645</v>
      </c>
      <c r="X38" s="17">
        <f t="shared" si="12"/>
        <v>8.4229390681003435E-2</v>
      </c>
      <c r="Y38" s="18">
        <f>+IFERROR(VLOOKUP(A38,[1]Hoja1!$A:$B,2,0),0)</f>
        <v>86</v>
      </c>
      <c r="Z38" s="18">
        <f>+IFERROR(VLOOKUP(A38,[1]Hoja1!$D:$E,2,0),0)</f>
        <v>29</v>
      </c>
      <c r="AA38" s="18">
        <f t="shared" si="14"/>
        <v>242</v>
      </c>
      <c r="AB38" s="18">
        <f t="shared" si="14"/>
        <v>82</v>
      </c>
      <c r="AC38">
        <f t="shared" si="15"/>
        <v>0</v>
      </c>
      <c r="AD38">
        <f t="shared" si="16"/>
        <v>1</v>
      </c>
      <c r="AE38">
        <f t="shared" si="17"/>
        <v>0</v>
      </c>
      <c r="AF38" s="17">
        <f t="shared" si="29"/>
        <v>1.1560283687943262</v>
      </c>
      <c r="AG38" s="17">
        <f t="shared" si="18"/>
        <v>0.93436293436293438</v>
      </c>
      <c r="AH38" s="18">
        <f t="shared" si="19"/>
        <v>461</v>
      </c>
      <c r="AI38" s="18">
        <f t="shared" si="19"/>
        <v>156</v>
      </c>
      <c r="AJ38">
        <f t="shared" si="20"/>
        <v>0</v>
      </c>
      <c r="AK38">
        <f t="shared" si="21"/>
        <v>1</v>
      </c>
      <c r="AL38">
        <f t="shared" si="22"/>
        <v>0</v>
      </c>
      <c r="AM38" s="17">
        <f t="shared" si="23"/>
        <v>1.1565703634669151</v>
      </c>
      <c r="AN38" s="17">
        <f t="shared" si="24"/>
        <v>0.93509127789046653</v>
      </c>
      <c r="AO38" s="18" t="str">
        <f>+IFERROR(VLOOKUP(A38,[2]Rank!$B:$E,4,0),"No Ganador")</f>
        <v>No Ganador</v>
      </c>
      <c r="AP38" s="18">
        <f>+VLOOKUP(D38,[2]Departamento!$A$1:$B$16,2,0)</f>
        <v>2</v>
      </c>
      <c r="AQ38">
        <f t="shared" si="25"/>
        <v>0</v>
      </c>
    </row>
    <row r="39" spans="1:43" x14ac:dyDescent="0.3">
      <c r="A39" t="s">
        <v>139</v>
      </c>
      <c r="B39" t="s">
        <v>140</v>
      </c>
      <c r="C39" t="s">
        <v>43</v>
      </c>
      <c r="D39" t="s">
        <v>44</v>
      </c>
      <c r="E39" s="10" t="s">
        <v>45</v>
      </c>
      <c r="F39" s="10" t="s">
        <v>46</v>
      </c>
      <c r="G39" s="11">
        <v>210</v>
      </c>
      <c r="H39" s="12">
        <v>145.13636363636363</v>
      </c>
      <c r="I39" s="12">
        <f t="shared" si="0"/>
        <v>210</v>
      </c>
      <c r="J39" s="13">
        <f t="shared" si="27"/>
        <v>252</v>
      </c>
      <c r="K39" s="14">
        <f t="shared" si="2"/>
        <v>228</v>
      </c>
      <c r="L39" s="15">
        <v>3</v>
      </c>
      <c r="M39" s="12">
        <v>2.8181818181818183</v>
      </c>
      <c r="N39" s="12">
        <f t="shared" si="3"/>
        <v>3</v>
      </c>
      <c r="O39" s="13">
        <v>4</v>
      </c>
      <c r="P39" s="16">
        <f t="shared" si="28"/>
        <v>4</v>
      </c>
      <c r="Q39" s="15">
        <f t="shared" si="5"/>
        <v>106.86363636363637</v>
      </c>
      <c r="R39" s="12">
        <f t="shared" si="6"/>
        <v>82.863636363636374</v>
      </c>
      <c r="S39" s="12">
        <f t="shared" si="7"/>
        <v>1.1818181818181817</v>
      </c>
      <c r="T39" s="12">
        <f t="shared" si="8"/>
        <v>1.1818181818181817</v>
      </c>
      <c r="U39" s="17">
        <f t="shared" si="9"/>
        <v>0.73629815220795503</v>
      </c>
      <c r="V39" s="17">
        <f t="shared" si="10"/>
        <v>0.57093642342624507</v>
      </c>
      <c r="W39" s="17">
        <f t="shared" si="11"/>
        <v>0.41935483870967727</v>
      </c>
      <c r="X39" s="17">
        <f t="shared" si="12"/>
        <v>0.41935483870967727</v>
      </c>
      <c r="Y39" s="18">
        <f>+IFERROR(VLOOKUP(A39,[1]Hoja1!$A:$B,2,0),0)</f>
        <v>50</v>
      </c>
      <c r="Z39" s="18">
        <f>+IFERROR(VLOOKUP(A39,[1]Hoja1!$D:$E,2,0),0)</f>
        <v>2</v>
      </c>
      <c r="AA39" s="18">
        <f t="shared" si="14"/>
        <v>141</v>
      </c>
      <c r="AB39" s="18">
        <f t="shared" si="14"/>
        <v>6</v>
      </c>
      <c r="AC39">
        <f t="shared" si="15"/>
        <v>0</v>
      </c>
      <c r="AD39">
        <f t="shared" si="16"/>
        <v>1</v>
      </c>
      <c r="AE39">
        <f t="shared" si="17"/>
        <v>0</v>
      </c>
      <c r="AF39" s="17">
        <f t="shared" si="29"/>
        <v>0.62867647058823528</v>
      </c>
      <c r="AG39" s="17">
        <f t="shared" si="18"/>
        <v>0.55952380952380953</v>
      </c>
      <c r="AH39" s="18">
        <f t="shared" si="19"/>
        <v>268</v>
      </c>
      <c r="AI39" s="18">
        <f t="shared" si="19"/>
        <v>11</v>
      </c>
      <c r="AJ39">
        <f t="shared" si="20"/>
        <v>0</v>
      </c>
      <c r="AK39">
        <f t="shared" si="21"/>
        <v>1</v>
      </c>
      <c r="AL39">
        <f t="shared" si="22"/>
        <v>0</v>
      </c>
      <c r="AM39" s="17">
        <f t="shared" si="23"/>
        <v>0.62115384615384617</v>
      </c>
      <c r="AN39" s="17">
        <f t="shared" si="24"/>
        <v>0.55833333333333335</v>
      </c>
      <c r="AO39" s="18" t="str">
        <f>+IFERROR(VLOOKUP(A39,[2]Rank!$B:$E,4,0),"No Ganador")</f>
        <v>No Ganador</v>
      </c>
      <c r="AP39" s="18">
        <f>+VLOOKUP(D39,[2]Departamento!$A$1:$B$16,2,0)</f>
        <v>6</v>
      </c>
      <c r="AQ39">
        <f t="shared" si="25"/>
        <v>0</v>
      </c>
    </row>
    <row r="40" spans="1:43" x14ac:dyDescent="0.3">
      <c r="A40" t="s">
        <v>141</v>
      </c>
      <c r="B40" t="s">
        <v>142</v>
      </c>
      <c r="C40" t="s">
        <v>43</v>
      </c>
      <c r="D40" t="s">
        <v>44</v>
      </c>
      <c r="E40" s="10" t="s">
        <v>45</v>
      </c>
      <c r="F40" s="10" t="s">
        <v>63</v>
      </c>
      <c r="G40" s="11">
        <v>158</v>
      </c>
      <c r="H40" s="12">
        <v>97.22727272727272</v>
      </c>
      <c r="I40" s="12">
        <f t="shared" si="0"/>
        <v>158</v>
      </c>
      <c r="J40" s="13">
        <f t="shared" si="27"/>
        <v>190</v>
      </c>
      <c r="K40" s="14">
        <f t="shared" si="2"/>
        <v>172</v>
      </c>
      <c r="L40" s="15">
        <v>28</v>
      </c>
      <c r="M40" s="12">
        <v>15.5</v>
      </c>
      <c r="N40" s="12">
        <f t="shared" si="3"/>
        <v>28</v>
      </c>
      <c r="O40" s="13">
        <v>34</v>
      </c>
      <c r="P40" s="16">
        <f t="shared" si="28"/>
        <v>31</v>
      </c>
      <c r="Q40" s="15">
        <f t="shared" si="5"/>
        <v>92.77272727272728</v>
      </c>
      <c r="R40" s="12">
        <f t="shared" si="6"/>
        <v>74.77272727272728</v>
      </c>
      <c r="S40" s="12">
        <f t="shared" si="7"/>
        <v>18.5</v>
      </c>
      <c r="T40" s="12">
        <f t="shared" si="8"/>
        <v>15.5</v>
      </c>
      <c r="U40" s="17">
        <f t="shared" si="9"/>
        <v>0.95418419822346912</v>
      </c>
      <c r="V40" s="17">
        <f t="shared" si="10"/>
        <v>0.76905095839177195</v>
      </c>
      <c r="W40" s="17">
        <f t="shared" si="11"/>
        <v>1.193548387096774</v>
      </c>
      <c r="X40" s="17">
        <f t="shared" si="12"/>
        <v>1</v>
      </c>
      <c r="Y40" s="18">
        <f>+IFERROR(VLOOKUP(A40,[1]Hoja1!$A:$B,2,0),0)</f>
        <v>74</v>
      </c>
      <c r="Z40" s="18">
        <f>+IFERROR(VLOOKUP(A40,[1]Hoja1!$D:$E,2,0),0)</f>
        <v>6</v>
      </c>
      <c r="AA40" s="18">
        <f t="shared" si="14"/>
        <v>209</v>
      </c>
      <c r="AB40" s="18">
        <f t="shared" si="14"/>
        <v>17</v>
      </c>
      <c r="AC40">
        <f t="shared" si="15"/>
        <v>1</v>
      </c>
      <c r="AD40">
        <f t="shared" si="16"/>
        <v>0</v>
      </c>
      <c r="AE40">
        <f t="shared" si="17"/>
        <v>0</v>
      </c>
      <c r="AF40" s="17">
        <f t="shared" si="29"/>
        <v>0.81666666666666665</v>
      </c>
      <c r="AG40" s="17">
        <f t="shared" si="18"/>
        <v>1.1000000000000001</v>
      </c>
      <c r="AH40" s="18">
        <f t="shared" si="19"/>
        <v>397</v>
      </c>
      <c r="AI40" s="18">
        <f t="shared" si="19"/>
        <v>32</v>
      </c>
      <c r="AJ40">
        <f t="shared" si="20"/>
        <v>1</v>
      </c>
      <c r="AK40">
        <f t="shared" si="21"/>
        <v>0</v>
      </c>
      <c r="AL40">
        <f t="shared" si="22"/>
        <v>0</v>
      </c>
      <c r="AM40" s="17">
        <f t="shared" si="23"/>
        <v>0.81077147016011641</v>
      </c>
      <c r="AN40" s="17">
        <f t="shared" si="24"/>
        <v>1.0966850828729282</v>
      </c>
      <c r="AO40" s="18" t="str">
        <f>+IFERROR(VLOOKUP(A40,[2]Rank!$B:$E,4,0),"No Ganador")</f>
        <v>No Ganador</v>
      </c>
      <c r="AP40" s="18">
        <f>+VLOOKUP(D40,[2]Departamento!$A$1:$B$16,2,0)</f>
        <v>6</v>
      </c>
      <c r="AQ40">
        <f t="shared" si="25"/>
        <v>0</v>
      </c>
    </row>
    <row r="41" spans="1:43" x14ac:dyDescent="0.3">
      <c r="A41" t="s">
        <v>143</v>
      </c>
      <c r="B41" t="s">
        <v>144</v>
      </c>
      <c r="C41" t="s">
        <v>43</v>
      </c>
      <c r="D41" t="s">
        <v>68</v>
      </c>
      <c r="E41" s="10" t="s">
        <v>69</v>
      </c>
      <c r="F41" s="10" t="s">
        <v>46</v>
      </c>
      <c r="G41" s="11">
        <v>116</v>
      </c>
      <c r="H41" s="12">
        <v>238</v>
      </c>
      <c r="I41" s="12">
        <f t="shared" si="0"/>
        <v>238</v>
      </c>
      <c r="J41" s="13">
        <f t="shared" si="27"/>
        <v>286</v>
      </c>
      <c r="K41" s="14">
        <f t="shared" si="2"/>
        <v>258</v>
      </c>
      <c r="L41" s="15">
        <v>1</v>
      </c>
      <c r="M41" s="12">
        <v>1</v>
      </c>
      <c r="N41" s="12">
        <f t="shared" si="3"/>
        <v>1</v>
      </c>
      <c r="O41" s="13">
        <v>2</v>
      </c>
      <c r="P41" s="16">
        <v>2</v>
      </c>
      <c r="Q41" s="15">
        <f t="shared" si="5"/>
        <v>48</v>
      </c>
      <c r="R41" s="12">
        <f t="shared" si="6"/>
        <v>20</v>
      </c>
      <c r="S41" s="12">
        <f t="shared" si="7"/>
        <v>1</v>
      </c>
      <c r="T41" s="12">
        <f t="shared" si="8"/>
        <v>1</v>
      </c>
      <c r="U41" s="17">
        <f t="shared" si="9"/>
        <v>0.20168067226890751</v>
      </c>
      <c r="V41" s="17">
        <f t="shared" si="10"/>
        <v>8.4033613445378075E-2</v>
      </c>
      <c r="W41" s="17">
        <f t="shared" si="11"/>
        <v>1</v>
      </c>
      <c r="X41" s="17">
        <f t="shared" si="12"/>
        <v>1</v>
      </c>
      <c r="Y41" s="18">
        <f>+IFERROR(VLOOKUP(A41,[1]Hoja1!$A:$B,2,0),0)</f>
        <v>75</v>
      </c>
      <c r="Z41" s="18">
        <f>+IFERROR(VLOOKUP(A41,[1]Hoja1!$D:$E,2,0),0)</f>
        <v>4</v>
      </c>
      <c r="AA41" s="18">
        <f t="shared" si="14"/>
        <v>211</v>
      </c>
      <c r="AB41" s="18">
        <f t="shared" si="14"/>
        <v>11</v>
      </c>
      <c r="AC41">
        <f t="shared" si="15"/>
        <v>0</v>
      </c>
      <c r="AD41">
        <f t="shared" si="16"/>
        <v>1</v>
      </c>
      <c r="AE41">
        <f t="shared" si="17"/>
        <v>0</v>
      </c>
      <c r="AF41" s="17">
        <f t="shared" si="29"/>
        <v>0.89864864864864868</v>
      </c>
      <c r="AG41" s="17">
        <f t="shared" si="18"/>
        <v>0.73776223776223782</v>
      </c>
      <c r="AH41" s="18">
        <f t="shared" si="19"/>
        <v>402</v>
      </c>
      <c r="AI41" s="18">
        <f t="shared" si="19"/>
        <v>21</v>
      </c>
      <c r="AJ41">
        <f t="shared" si="20"/>
        <v>0</v>
      </c>
      <c r="AK41">
        <f t="shared" si="21"/>
        <v>1</v>
      </c>
      <c r="AL41">
        <f t="shared" si="22"/>
        <v>0</v>
      </c>
      <c r="AM41" s="17">
        <f t="shared" si="23"/>
        <v>0.89893617021276595</v>
      </c>
      <c r="AN41" s="17">
        <f t="shared" si="24"/>
        <v>0.73897058823529416</v>
      </c>
      <c r="AO41" s="18" t="str">
        <f>+IFERROR(VLOOKUP(A41,[2]Rank!$B:$E,4,0),"No Ganador")</f>
        <v>No Ganador</v>
      </c>
      <c r="AP41" s="18">
        <f>+VLOOKUP(D41,[2]Departamento!$A$1:$B$16,2,0)</f>
        <v>2</v>
      </c>
      <c r="AQ41">
        <f t="shared" si="25"/>
        <v>0</v>
      </c>
    </row>
    <row r="42" spans="1:43" x14ac:dyDescent="0.3">
      <c r="A42" t="s">
        <v>145</v>
      </c>
      <c r="B42" t="s">
        <v>146</v>
      </c>
      <c r="C42" t="s">
        <v>43</v>
      </c>
      <c r="D42" t="s">
        <v>99</v>
      </c>
      <c r="E42" s="10" t="s">
        <v>57</v>
      </c>
      <c r="F42" s="10" t="s">
        <v>46</v>
      </c>
      <c r="G42" s="11">
        <v>314</v>
      </c>
      <c r="H42" s="12">
        <v>255.04545454545453</v>
      </c>
      <c r="I42" s="12">
        <f t="shared" si="0"/>
        <v>314</v>
      </c>
      <c r="J42" s="13">
        <f t="shared" si="27"/>
        <v>377</v>
      </c>
      <c r="K42" s="14">
        <f t="shared" si="2"/>
        <v>341</v>
      </c>
      <c r="L42" s="15">
        <v>1</v>
      </c>
      <c r="M42" s="12">
        <v>0</v>
      </c>
      <c r="N42" s="12">
        <f t="shared" si="3"/>
        <v>1</v>
      </c>
      <c r="O42" s="13">
        <v>2</v>
      </c>
      <c r="P42" s="16">
        <f t="shared" si="28"/>
        <v>2</v>
      </c>
      <c r="Q42" s="15">
        <f t="shared" si="5"/>
        <v>121.95454545454547</v>
      </c>
      <c r="R42" s="12">
        <f t="shared" si="6"/>
        <v>85.954545454545467</v>
      </c>
      <c r="S42" s="12">
        <f t="shared" si="7"/>
        <v>2</v>
      </c>
      <c r="T42" s="12">
        <f t="shared" si="8"/>
        <v>2</v>
      </c>
      <c r="U42" s="17">
        <f t="shared" si="9"/>
        <v>0.47816788451256476</v>
      </c>
      <c r="V42" s="17">
        <f t="shared" si="10"/>
        <v>0.3370165745856355</v>
      </c>
      <c r="W42" s="17" t="str">
        <f t="shared" si="11"/>
        <v>-</v>
      </c>
      <c r="X42" s="17">
        <f t="shared" si="12"/>
        <v>0</v>
      </c>
      <c r="Y42" s="18">
        <f>+IFERROR(VLOOKUP(A42,[1]Hoja1!$A:$B,2,0),0)</f>
        <v>92</v>
      </c>
      <c r="Z42" s="18">
        <f>+IFERROR(VLOOKUP(A42,[1]Hoja1!$D:$E,2,0),0)</f>
        <v>6</v>
      </c>
      <c r="AA42" s="18">
        <f t="shared" si="14"/>
        <v>259</v>
      </c>
      <c r="AB42" s="18">
        <f t="shared" si="14"/>
        <v>17</v>
      </c>
      <c r="AC42">
        <f t="shared" si="15"/>
        <v>0</v>
      </c>
      <c r="AD42">
        <f t="shared" si="16"/>
        <v>1</v>
      </c>
      <c r="AE42">
        <f t="shared" si="17"/>
        <v>0</v>
      </c>
      <c r="AF42" s="17">
        <f t="shared" si="29"/>
        <v>0.88888888888888884</v>
      </c>
      <c r="AG42" s="17">
        <f t="shared" si="18"/>
        <v>0.6870026525198939</v>
      </c>
      <c r="AH42" s="18">
        <f t="shared" si="19"/>
        <v>493</v>
      </c>
      <c r="AI42" s="18">
        <f t="shared" si="19"/>
        <v>32</v>
      </c>
      <c r="AJ42">
        <f t="shared" si="20"/>
        <v>0</v>
      </c>
      <c r="AK42">
        <f t="shared" si="21"/>
        <v>1</v>
      </c>
      <c r="AL42">
        <f t="shared" si="22"/>
        <v>0</v>
      </c>
      <c r="AM42" s="17">
        <f t="shared" si="23"/>
        <v>0.88482384823848237</v>
      </c>
      <c r="AN42" s="17">
        <f t="shared" si="24"/>
        <v>0.6866295264623955</v>
      </c>
      <c r="AO42" s="18" t="str">
        <f>+IFERROR(VLOOKUP(A42,[2]Rank!$B:$E,4,0),"No Ganador")</f>
        <v>No Ganador</v>
      </c>
      <c r="AP42" s="18">
        <f>+VLOOKUP(D42,[2]Departamento!$A$1:$B$16,2,0)</f>
        <v>2</v>
      </c>
      <c r="AQ42">
        <f t="shared" si="25"/>
        <v>0</v>
      </c>
    </row>
    <row r="43" spans="1:43" x14ac:dyDescent="0.3">
      <c r="A43" t="s">
        <v>147</v>
      </c>
      <c r="B43" t="s">
        <v>148</v>
      </c>
      <c r="C43" t="s">
        <v>43</v>
      </c>
      <c r="D43" t="s">
        <v>56</v>
      </c>
      <c r="E43" s="10" t="s">
        <v>57</v>
      </c>
      <c r="F43" s="10" t="s">
        <v>58</v>
      </c>
      <c r="G43" s="11">
        <v>57</v>
      </c>
      <c r="H43" s="12">
        <v>79</v>
      </c>
      <c r="I43" s="12">
        <f t="shared" si="0"/>
        <v>79</v>
      </c>
      <c r="J43" s="13">
        <f t="shared" si="27"/>
        <v>95</v>
      </c>
      <c r="K43" s="14">
        <f t="shared" si="2"/>
        <v>86</v>
      </c>
      <c r="L43" s="15">
        <v>3</v>
      </c>
      <c r="M43" s="12">
        <v>1</v>
      </c>
      <c r="N43" s="12">
        <f t="shared" si="3"/>
        <v>3</v>
      </c>
      <c r="O43" s="13">
        <v>4</v>
      </c>
      <c r="P43" s="16">
        <v>3</v>
      </c>
      <c r="Q43" s="15">
        <f t="shared" si="5"/>
        <v>16</v>
      </c>
      <c r="R43" s="12">
        <f t="shared" si="6"/>
        <v>7</v>
      </c>
      <c r="S43" s="12">
        <f t="shared" si="7"/>
        <v>3</v>
      </c>
      <c r="T43" s="12">
        <f t="shared" si="8"/>
        <v>2</v>
      </c>
      <c r="U43" s="17">
        <f t="shared" si="9"/>
        <v>0.20253164556962022</v>
      </c>
      <c r="V43" s="17">
        <f t="shared" si="10"/>
        <v>8.8607594936708889E-2</v>
      </c>
      <c r="W43" s="17">
        <f t="shared" si="11"/>
        <v>3</v>
      </c>
      <c r="X43" s="17">
        <f t="shared" si="12"/>
        <v>2</v>
      </c>
      <c r="Y43" s="18">
        <f>+IFERROR(VLOOKUP(A43,[1]Hoja1!$A:$B,2,0),0)</f>
        <v>34</v>
      </c>
      <c r="Z43" s="18">
        <f>+IFERROR(VLOOKUP(A43,[1]Hoja1!$D:$E,2,0),0)</f>
        <v>3</v>
      </c>
      <c r="AA43" s="18">
        <f t="shared" si="14"/>
        <v>96</v>
      </c>
      <c r="AB43" s="18">
        <f t="shared" si="14"/>
        <v>8</v>
      </c>
      <c r="AC43">
        <f t="shared" si="15"/>
        <v>1</v>
      </c>
      <c r="AD43">
        <f t="shared" si="16"/>
        <v>1</v>
      </c>
      <c r="AE43">
        <f t="shared" si="17"/>
        <v>1</v>
      </c>
      <c r="AF43" s="17">
        <f t="shared" si="29"/>
        <v>1.182608695652174</v>
      </c>
      <c r="AG43" s="17">
        <f t="shared" si="18"/>
        <v>1.0105263157894737</v>
      </c>
      <c r="AH43" s="18">
        <f t="shared" si="19"/>
        <v>182</v>
      </c>
      <c r="AI43" s="18">
        <f t="shared" si="19"/>
        <v>16</v>
      </c>
      <c r="AJ43">
        <f t="shared" si="20"/>
        <v>1</v>
      </c>
      <c r="AK43">
        <f t="shared" si="21"/>
        <v>1</v>
      </c>
      <c r="AL43">
        <f t="shared" si="22"/>
        <v>1</v>
      </c>
      <c r="AM43" s="17">
        <f t="shared" si="23"/>
        <v>1.212962962962963</v>
      </c>
      <c r="AN43" s="17">
        <f t="shared" si="24"/>
        <v>1.0055248618784531</v>
      </c>
      <c r="AO43" s="18">
        <f>+IFERROR(VLOOKUP(A43,[2]Rank!$B:$E,4,0),"No Ganador")</f>
        <v>1</v>
      </c>
      <c r="AP43" s="18">
        <f>+VLOOKUP(D43,[2]Departamento!$A$1:$B$16,2,0)</f>
        <v>2</v>
      </c>
      <c r="AQ43">
        <f t="shared" si="25"/>
        <v>1</v>
      </c>
    </row>
    <row r="44" spans="1:43" x14ac:dyDescent="0.3">
      <c r="A44" t="s">
        <v>149</v>
      </c>
      <c r="B44" t="s">
        <v>150</v>
      </c>
      <c r="C44" t="s">
        <v>43</v>
      </c>
      <c r="D44" t="s">
        <v>44</v>
      </c>
      <c r="E44" s="10" t="s">
        <v>45</v>
      </c>
      <c r="F44" s="10" t="s">
        <v>63</v>
      </c>
      <c r="G44" s="11">
        <v>168</v>
      </c>
      <c r="H44" s="12">
        <v>116.95454545454547</v>
      </c>
      <c r="I44" s="12">
        <f t="shared" si="0"/>
        <v>168</v>
      </c>
      <c r="J44" s="13">
        <f t="shared" si="27"/>
        <v>202</v>
      </c>
      <c r="K44" s="14">
        <f t="shared" si="2"/>
        <v>182</v>
      </c>
      <c r="L44" s="15">
        <v>10</v>
      </c>
      <c r="M44" s="12">
        <v>2.8181818181818183</v>
      </c>
      <c r="N44" s="12">
        <f t="shared" si="3"/>
        <v>10</v>
      </c>
      <c r="O44" s="13">
        <v>12</v>
      </c>
      <c r="P44" s="16">
        <f t="shared" si="28"/>
        <v>11</v>
      </c>
      <c r="Q44" s="15">
        <f t="shared" si="5"/>
        <v>85.045454545454533</v>
      </c>
      <c r="R44" s="12">
        <f t="shared" si="6"/>
        <v>65.045454545454533</v>
      </c>
      <c r="S44" s="12">
        <f t="shared" si="7"/>
        <v>9.1818181818181817</v>
      </c>
      <c r="T44" s="12">
        <f t="shared" si="8"/>
        <v>8.1818181818181817</v>
      </c>
      <c r="U44" s="17">
        <f t="shared" si="9"/>
        <v>0.72716673144189636</v>
      </c>
      <c r="V44" s="17">
        <f t="shared" si="10"/>
        <v>0.55616012436844131</v>
      </c>
      <c r="W44" s="17">
        <f t="shared" si="11"/>
        <v>3.258064516129032</v>
      </c>
      <c r="X44" s="17">
        <f t="shared" si="12"/>
        <v>2.9032258064516125</v>
      </c>
      <c r="Y44" s="18">
        <f>+IFERROR(VLOOKUP(A44,[1]Hoja1!$A:$B,2,0),0)</f>
        <v>79</v>
      </c>
      <c r="Z44" s="18">
        <f>+IFERROR(VLOOKUP(A44,[1]Hoja1!$D:$E,2,0),0)</f>
        <v>3</v>
      </c>
      <c r="AA44" s="18">
        <f t="shared" si="14"/>
        <v>223</v>
      </c>
      <c r="AB44" s="18">
        <f t="shared" si="14"/>
        <v>8</v>
      </c>
      <c r="AC44">
        <f t="shared" si="15"/>
        <v>1</v>
      </c>
      <c r="AD44">
        <f t="shared" si="16"/>
        <v>0</v>
      </c>
      <c r="AE44">
        <f t="shared" si="17"/>
        <v>0</v>
      </c>
      <c r="AF44" s="17">
        <f t="shared" si="29"/>
        <v>1.0038167938931297</v>
      </c>
      <c r="AG44" s="17">
        <f t="shared" si="18"/>
        <v>1.1039603960396041</v>
      </c>
      <c r="AH44" s="18">
        <f t="shared" si="19"/>
        <v>424</v>
      </c>
      <c r="AI44" s="18">
        <f t="shared" si="19"/>
        <v>16</v>
      </c>
      <c r="AJ44">
        <f t="shared" si="20"/>
        <v>1</v>
      </c>
      <c r="AK44">
        <f t="shared" si="21"/>
        <v>0</v>
      </c>
      <c r="AL44">
        <f t="shared" si="22"/>
        <v>0</v>
      </c>
      <c r="AM44" s="17">
        <f t="shared" si="23"/>
        <v>1.0100200400801602</v>
      </c>
      <c r="AN44" s="17">
        <f t="shared" si="24"/>
        <v>1.1041666666666667</v>
      </c>
      <c r="AO44" s="18" t="str">
        <f>+IFERROR(VLOOKUP(A44,[2]Rank!$B:$E,4,0),"No Ganador")</f>
        <v>No Ganador</v>
      </c>
      <c r="AP44" s="18">
        <f>+VLOOKUP(D44,[2]Departamento!$A$1:$B$16,2,0)</f>
        <v>6</v>
      </c>
      <c r="AQ44">
        <f t="shared" si="25"/>
        <v>0</v>
      </c>
    </row>
    <row r="45" spans="1:43" x14ac:dyDescent="0.3">
      <c r="A45" t="s">
        <v>151</v>
      </c>
      <c r="B45" t="s">
        <v>152</v>
      </c>
      <c r="C45" t="s">
        <v>43</v>
      </c>
      <c r="D45" t="s">
        <v>44</v>
      </c>
      <c r="E45" s="10" t="s">
        <v>45</v>
      </c>
      <c r="F45" s="10" t="s">
        <v>63</v>
      </c>
      <c r="G45" s="11">
        <v>259</v>
      </c>
      <c r="H45" s="12">
        <v>218.40909090909093</v>
      </c>
      <c r="I45" s="12">
        <f t="shared" si="0"/>
        <v>259</v>
      </c>
      <c r="J45" s="13">
        <f t="shared" si="27"/>
        <v>311</v>
      </c>
      <c r="K45" s="14">
        <f t="shared" si="2"/>
        <v>281</v>
      </c>
      <c r="L45" s="15">
        <v>0</v>
      </c>
      <c r="M45" s="12">
        <v>0</v>
      </c>
      <c r="N45" s="12">
        <f t="shared" si="3"/>
        <v>0</v>
      </c>
      <c r="O45" s="13">
        <v>1</v>
      </c>
      <c r="P45" s="16">
        <f t="shared" si="28"/>
        <v>1</v>
      </c>
      <c r="Q45" s="15">
        <f t="shared" si="5"/>
        <v>92.590909090909065</v>
      </c>
      <c r="R45" s="12">
        <f t="shared" si="6"/>
        <v>62.590909090909065</v>
      </c>
      <c r="S45" s="12">
        <f t="shared" si="7"/>
        <v>1</v>
      </c>
      <c r="T45" s="12">
        <f t="shared" si="8"/>
        <v>1</v>
      </c>
      <c r="U45" s="17">
        <f t="shared" si="9"/>
        <v>0.42393340270551483</v>
      </c>
      <c r="V45" s="17">
        <f t="shared" si="10"/>
        <v>0.28657648283038495</v>
      </c>
      <c r="W45" s="17" t="str">
        <f t="shared" si="11"/>
        <v>-</v>
      </c>
      <c r="X45" s="17">
        <f t="shared" si="12"/>
        <v>0</v>
      </c>
      <c r="Y45" s="18">
        <f>+IFERROR(VLOOKUP(A45,[1]Hoja1!$A:$B,2,0),0)</f>
        <v>106</v>
      </c>
      <c r="Z45" s="18">
        <f>+IFERROR(VLOOKUP(A45,[1]Hoja1!$D:$E,2,0),0)</f>
        <v>8</v>
      </c>
      <c r="AA45" s="18">
        <f t="shared" si="14"/>
        <v>299</v>
      </c>
      <c r="AB45" s="18">
        <f t="shared" si="14"/>
        <v>23</v>
      </c>
      <c r="AC45">
        <f t="shared" si="15"/>
        <v>0</v>
      </c>
      <c r="AD45">
        <f t="shared" si="16"/>
        <v>1</v>
      </c>
      <c r="AE45">
        <f t="shared" si="17"/>
        <v>0</v>
      </c>
      <c r="AF45" s="17">
        <f t="shared" si="29"/>
        <v>1.3101265822784811</v>
      </c>
      <c r="AG45" s="17">
        <f t="shared" si="18"/>
        <v>0.96141479099678462</v>
      </c>
      <c r="AH45" s="18">
        <f t="shared" si="19"/>
        <v>569</v>
      </c>
      <c r="AI45" s="18">
        <f t="shared" si="19"/>
        <v>43</v>
      </c>
      <c r="AJ45">
        <f t="shared" si="20"/>
        <v>0</v>
      </c>
      <c r="AK45">
        <f t="shared" si="21"/>
        <v>1</v>
      </c>
      <c r="AL45">
        <f t="shared" si="22"/>
        <v>0</v>
      </c>
      <c r="AM45" s="17">
        <f t="shared" si="23"/>
        <v>1.3023255813953489</v>
      </c>
      <c r="AN45" s="17">
        <f t="shared" si="24"/>
        <v>0.96114864864864868</v>
      </c>
      <c r="AO45" s="18" t="str">
        <f>+IFERROR(VLOOKUP(A45,[2]Rank!$B:$E,4,0),"No Ganador")</f>
        <v>No Ganador</v>
      </c>
      <c r="AP45" s="18">
        <f>+VLOOKUP(D45,[2]Departamento!$A$1:$B$16,2,0)</f>
        <v>6</v>
      </c>
      <c r="AQ45">
        <f t="shared" si="25"/>
        <v>0</v>
      </c>
    </row>
    <row r="46" spans="1:43" x14ac:dyDescent="0.3">
      <c r="A46" t="s">
        <v>153</v>
      </c>
      <c r="B46" t="s">
        <v>154</v>
      </c>
      <c r="C46" t="s">
        <v>43</v>
      </c>
      <c r="D46" t="s">
        <v>44</v>
      </c>
      <c r="E46" s="10" t="s">
        <v>45</v>
      </c>
      <c r="F46" s="10" t="s">
        <v>46</v>
      </c>
      <c r="G46" s="11">
        <v>140</v>
      </c>
      <c r="H46" s="12">
        <v>102.86363636363637</v>
      </c>
      <c r="I46" s="12">
        <f t="shared" si="0"/>
        <v>140</v>
      </c>
      <c r="J46" s="13">
        <f t="shared" si="27"/>
        <v>168</v>
      </c>
      <c r="K46" s="14">
        <f t="shared" si="2"/>
        <v>152</v>
      </c>
      <c r="L46" s="15">
        <v>5</v>
      </c>
      <c r="M46" s="12">
        <v>2.8181818181818183</v>
      </c>
      <c r="N46" s="12">
        <f t="shared" si="3"/>
        <v>5</v>
      </c>
      <c r="O46" s="13">
        <v>6</v>
      </c>
      <c r="P46" s="16">
        <f t="shared" si="28"/>
        <v>5</v>
      </c>
      <c r="Q46" s="15">
        <f t="shared" si="5"/>
        <v>65.136363636363626</v>
      </c>
      <c r="R46" s="12">
        <f t="shared" si="6"/>
        <v>49.136363636363626</v>
      </c>
      <c r="S46" s="12">
        <f t="shared" si="7"/>
        <v>3.1818181818181817</v>
      </c>
      <c r="T46" s="12">
        <f t="shared" si="8"/>
        <v>2.1818181818181817</v>
      </c>
      <c r="U46" s="17">
        <f t="shared" si="9"/>
        <v>0.63323022536456008</v>
      </c>
      <c r="V46" s="17">
        <f t="shared" si="10"/>
        <v>0.47768448961555432</v>
      </c>
      <c r="W46" s="17">
        <f t="shared" si="11"/>
        <v>1.129032258064516</v>
      </c>
      <c r="X46" s="17">
        <f t="shared" si="12"/>
        <v>0.77419354838709675</v>
      </c>
      <c r="Y46" s="18">
        <f>+IFERROR(VLOOKUP(A46,[1]Hoja1!$A:$B,2,0),0)</f>
        <v>0</v>
      </c>
      <c r="Z46" s="18">
        <f>+IFERROR(VLOOKUP(A46,[1]Hoja1!$D:$E,2,0),0)</f>
        <v>0</v>
      </c>
      <c r="AA46" s="18">
        <f t="shared" si="14"/>
        <v>0</v>
      </c>
      <c r="AB46" s="18">
        <f t="shared" si="14"/>
        <v>0</v>
      </c>
      <c r="AC46">
        <f t="shared" si="15"/>
        <v>0</v>
      </c>
      <c r="AD46">
        <f t="shared" si="16"/>
        <v>0</v>
      </c>
      <c r="AE46">
        <f t="shared" si="17"/>
        <v>0</v>
      </c>
      <c r="AF46" s="17">
        <f t="shared" si="29"/>
        <v>0</v>
      </c>
      <c r="AG46" s="17">
        <f t="shared" si="18"/>
        <v>0</v>
      </c>
      <c r="AH46" s="18">
        <f t="shared" si="19"/>
        <v>0</v>
      </c>
      <c r="AI46" s="18">
        <f t="shared" si="19"/>
        <v>0</v>
      </c>
      <c r="AJ46">
        <f t="shared" si="20"/>
        <v>0</v>
      </c>
      <c r="AK46">
        <f t="shared" si="21"/>
        <v>0</v>
      </c>
      <c r="AL46">
        <f t="shared" si="22"/>
        <v>0</v>
      </c>
      <c r="AM46" s="17">
        <f t="shared" si="23"/>
        <v>0</v>
      </c>
      <c r="AN46" s="17">
        <f t="shared" si="24"/>
        <v>0</v>
      </c>
      <c r="AO46" s="18" t="str">
        <f>+IFERROR(VLOOKUP(A46,[2]Rank!$B:$E,4,0),"No Ganador")</f>
        <v>No Ganador</v>
      </c>
      <c r="AP46" s="18">
        <f>+VLOOKUP(D46,[2]Departamento!$A$1:$B$16,2,0)</f>
        <v>6</v>
      </c>
      <c r="AQ46">
        <f t="shared" si="25"/>
        <v>0</v>
      </c>
    </row>
    <row r="47" spans="1:43" x14ac:dyDescent="0.3">
      <c r="A47" t="s">
        <v>155</v>
      </c>
      <c r="B47" t="s">
        <v>156</v>
      </c>
      <c r="C47" t="s">
        <v>43</v>
      </c>
      <c r="D47" t="s">
        <v>113</v>
      </c>
      <c r="E47" s="10" t="s">
        <v>69</v>
      </c>
      <c r="F47" s="10" t="s">
        <v>114</v>
      </c>
      <c r="G47" s="11">
        <v>151</v>
      </c>
      <c r="H47" s="12">
        <v>115.54545454545453</v>
      </c>
      <c r="I47" s="12">
        <f t="shared" si="0"/>
        <v>151</v>
      </c>
      <c r="J47" s="13">
        <f t="shared" si="27"/>
        <v>181</v>
      </c>
      <c r="K47" s="14">
        <f t="shared" si="2"/>
        <v>163</v>
      </c>
      <c r="L47" s="15">
        <v>0</v>
      </c>
      <c r="M47" s="12">
        <v>0</v>
      </c>
      <c r="N47" s="12">
        <f t="shared" si="3"/>
        <v>0</v>
      </c>
      <c r="O47" s="13">
        <v>1</v>
      </c>
      <c r="P47" s="16">
        <f t="shared" si="28"/>
        <v>1</v>
      </c>
      <c r="Q47" s="15">
        <f t="shared" si="5"/>
        <v>65.454545454545467</v>
      </c>
      <c r="R47" s="12">
        <f t="shared" si="6"/>
        <v>47.454545454545467</v>
      </c>
      <c r="S47" s="12">
        <f t="shared" si="7"/>
        <v>1</v>
      </c>
      <c r="T47" s="12">
        <f t="shared" si="8"/>
        <v>1</v>
      </c>
      <c r="U47" s="17">
        <f t="shared" si="9"/>
        <v>0.56648308418568072</v>
      </c>
      <c r="V47" s="17">
        <f t="shared" si="10"/>
        <v>0.41070023603461858</v>
      </c>
      <c r="W47" s="17" t="str">
        <f t="shared" si="11"/>
        <v>-</v>
      </c>
      <c r="X47" s="17">
        <f t="shared" si="12"/>
        <v>0</v>
      </c>
      <c r="Y47" s="18">
        <f>+IFERROR(VLOOKUP(A47,[1]Hoja1!$A:$B,2,0),0)</f>
        <v>41</v>
      </c>
      <c r="Z47" s="18">
        <f>+IFERROR(VLOOKUP(A47,[1]Hoja1!$D:$E,2,0),0)</f>
        <v>1</v>
      </c>
      <c r="AA47" s="18">
        <f t="shared" si="14"/>
        <v>116</v>
      </c>
      <c r="AB47" s="18">
        <f t="shared" si="14"/>
        <v>3</v>
      </c>
      <c r="AC47">
        <f t="shared" si="15"/>
        <v>0</v>
      </c>
      <c r="AD47">
        <f t="shared" si="16"/>
        <v>1</v>
      </c>
      <c r="AE47">
        <f t="shared" si="17"/>
        <v>0</v>
      </c>
      <c r="AF47" s="17">
        <f t="shared" si="29"/>
        <v>0.70430107526881724</v>
      </c>
      <c r="AG47" s="17">
        <f t="shared" si="18"/>
        <v>0.64088397790055252</v>
      </c>
      <c r="AH47" s="18">
        <f t="shared" si="19"/>
        <v>220</v>
      </c>
      <c r="AI47" s="18">
        <f t="shared" si="19"/>
        <v>5</v>
      </c>
      <c r="AJ47">
        <f t="shared" si="20"/>
        <v>0</v>
      </c>
      <c r="AK47">
        <f t="shared" si="21"/>
        <v>1</v>
      </c>
      <c r="AL47">
        <f t="shared" si="22"/>
        <v>0</v>
      </c>
      <c r="AM47" s="17">
        <f t="shared" si="23"/>
        <v>0.69209039548022599</v>
      </c>
      <c r="AN47" s="17">
        <f t="shared" si="24"/>
        <v>0.63953488372093026</v>
      </c>
      <c r="AO47" s="18" t="str">
        <f>+IFERROR(VLOOKUP(A47,[2]Rank!$B:$E,4,0),"No Ganador")</f>
        <v>No Ganador</v>
      </c>
      <c r="AP47" s="18">
        <f>+VLOOKUP(D47,[2]Departamento!$A$1:$B$16,2,0)</f>
        <v>1</v>
      </c>
      <c r="AQ47">
        <f t="shared" si="25"/>
        <v>0</v>
      </c>
    </row>
    <row r="48" spans="1:43" x14ac:dyDescent="0.3">
      <c r="A48" t="s">
        <v>157</v>
      </c>
      <c r="B48" t="s">
        <v>158</v>
      </c>
      <c r="C48" t="s">
        <v>43</v>
      </c>
      <c r="D48" t="s">
        <v>159</v>
      </c>
      <c r="E48" s="10" t="s">
        <v>57</v>
      </c>
      <c r="F48" s="10" t="s">
        <v>51</v>
      </c>
      <c r="G48" s="11">
        <v>303</v>
      </c>
      <c r="H48" s="12">
        <v>264.90909090909088</v>
      </c>
      <c r="I48" s="12">
        <f t="shared" si="0"/>
        <v>303</v>
      </c>
      <c r="J48" s="13">
        <f t="shared" si="27"/>
        <v>364</v>
      </c>
      <c r="K48" s="14">
        <f t="shared" si="2"/>
        <v>329</v>
      </c>
      <c r="L48" s="15">
        <v>35</v>
      </c>
      <c r="M48" s="12">
        <v>16.909090909090907</v>
      </c>
      <c r="N48" s="12">
        <f t="shared" si="3"/>
        <v>35</v>
      </c>
      <c r="O48" s="13">
        <v>42</v>
      </c>
      <c r="P48" s="16">
        <f t="shared" si="28"/>
        <v>38</v>
      </c>
      <c r="Q48" s="15">
        <f t="shared" si="5"/>
        <v>99.090909090909122</v>
      </c>
      <c r="R48" s="12">
        <f t="shared" si="6"/>
        <v>64.090909090909122</v>
      </c>
      <c r="S48" s="12">
        <f t="shared" si="7"/>
        <v>25.090909090909093</v>
      </c>
      <c r="T48" s="12">
        <f t="shared" si="8"/>
        <v>21.090909090909093</v>
      </c>
      <c r="U48" s="17">
        <f t="shared" si="9"/>
        <v>0.37405628002745384</v>
      </c>
      <c r="V48" s="17">
        <f t="shared" si="10"/>
        <v>0.24193548387096797</v>
      </c>
      <c r="W48" s="17">
        <f t="shared" si="11"/>
        <v>1.4838709677419359</v>
      </c>
      <c r="X48" s="17">
        <f t="shared" si="12"/>
        <v>1.2473118279569895</v>
      </c>
      <c r="Y48" s="18">
        <f>+IFERROR(VLOOKUP(A48,[1]Hoja1!$A:$B,2,0),0)</f>
        <v>92</v>
      </c>
      <c r="Z48" s="18">
        <f>+IFERROR(VLOOKUP(A48,[1]Hoja1!$D:$E,2,0),0)</f>
        <v>1</v>
      </c>
      <c r="AA48" s="18">
        <f t="shared" si="14"/>
        <v>259</v>
      </c>
      <c r="AB48" s="18">
        <f t="shared" si="14"/>
        <v>3</v>
      </c>
      <c r="AC48">
        <f t="shared" si="15"/>
        <v>0</v>
      </c>
      <c r="AD48">
        <f t="shared" si="16"/>
        <v>0</v>
      </c>
      <c r="AE48">
        <f t="shared" si="17"/>
        <v>0</v>
      </c>
      <c r="AF48" s="17">
        <f t="shared" si="29"/>
        <v>0.47735191637630664</v>
      </c>
      <c r="AG48" s="17">
        <f t="shared" si="18"/>
        <v>0.71153846153846156</v>
      </c>
      <c r="AH48" s="18">
        <f t="shared" si="19"/>
        <v>493</v>
      </c>
      <c r="AI48" s="18">
        <f t="shared" si="19"/>
        <v>5</v>
      </c>
      <c r="AJ48">
        <f t="shared" si="20"/>
        <v>0</v>
      </c>
      <c r="AK48">
        <f t="shared" si="21"/>
        <v>0</v>
      </c>
      <c r="AL48">
        <f t="shared" si="22"/>
        <v>0</v>
      </c>
      <c r="AM48" s="17">
        <f t="shared" si="23"/>
        <v>0.47392497712717291</v>
      </c>
      <c r="AN48" s="17">
        <f t="shared" si="24"/>
        <v>0.71139971139971137</v>
      </c>
      <c r="AO48" s="18" t="str">
        <f>+IFERROR(VLOOKUP(A48,[2]Rank!$B:$E,4,0),"No Ganador")</f>
        <v>No Ganador</v>
      </c>
      <c r="AP48" s="18">
        <f>+VLOOKUP(D48,[2]Departamento!$A$1:$B$16,2,0)</f>
        <v>2</v>
      </c>
      <c r="AQ48">
        <f t="shared" si="25"/>
        <v>0</v>
      </c>
    </row>
    <row r="49" spans="1:43" x14ac:dyDescent="0.3">
      <c r="A49" t="s">
        <v>160</v>
      </c>
      <c r="B49" t="s">
        <v>161</v>
      </c>
      <c r="C49" t="s">
        <v>43</v>
      </c>
      <c r="D49" t="s">
        <v>44</v>
      </c>
      <c r="E49" s="10" t="s">
        <v>45</v>
      </c>
      <c r="F49" s="10" t="s">
        <v>63</v>
      </c>
      <c r="G49" s="11">
        <v>119</v>
      </c>
      <c r="H49" s="12">
        <v>81.72727272727272</v>
      </c>
      <c r="I49" s="12">
        <f t="shared" si="0"/>
        <v>119</v>
      </c>
      <c r="J49" s="13">
        <f t="shared" si="27"/>
        <v>143</v>
      </c>
      <c r="K49" s="14">
        <f t="shared" si="2"/>
        <v>129</v>
      </c>
      <c r="L49" s="15">
        <v>4</v>
      </c>
      <c r="M49" s="12">
        <v>5.6363636363636367</v>
      </c>
      <c r="N49" s="12">
        <f t="shared" si="3"/>
        <v>5.6363636363636367</v>
      </c>
      <c r="O49" s="13">
        <v>7</v>
      </c>
      <c r="P49" s="16">
        <f t="shared" si="28"/>
        <v>6</v>
      </c>
      <c r="Q49" s="15">
        <f t="shared" si="5"/>
        <v>61.27272727272728</v>
      </c>
      <c r="R49" s="12">
        <f t="shared" si="6"/>
        <v>47.27272727272728</v>
      </c>
      <c r="S49" s="12">
        <f t="shared" si="7"/>
        <v>1.3636363636363633</v>
      </c>
      <c r="T49" s="12">
        <f t="shared" si="8"/>
        <v>0.36363636363636331</v>
      </c>
      <c r="U49" s="17">
        <f t="shared" si="9"/>
        <v>0.74972191323693016</v>
      </c>
      <c r="V49" s="17">
        <f t="shared" si="10"/>
        <v>0.57842046718576201</v>
      </c>
      <c r="W49" s="17">
        <f t="shared" si="11"/>
        <v>0.24193548387096775</v>
      </c>
      <c r="X49" s="17">
        <f t="shared" si="12"/>
        <v>6.4516129032258007E-2</v>
      </c>
      <c r="Y49" s="18">
        <f>+IFERROR(VLOOKUP(A49,[1]Hoja1!$A:$B,2,0),0)</f>
        <v>59</v>
      </c>
      <c r="Z49" s="18">
        <f>+IFERROR(VLOOKUP(A49,[1]Hoja1!$D:$E,2,0),0)</f>
        <v>7</v>
      </c>
      <c r="AA49" s="18">
        <f t="shared" si="14"/>
        <v>166</v>
      </c>
      <c r="AB49" s="18">
        <f t="shared" si="14"/>
        <v>20</v>
      </c>
      <c r="AC49">
        <f t="shared" si="15"/>
        <v>1</v>
      </c>
      <c r="AD49">
        <f t="shared" si="16"/>
        <v>1</v>
      </c>
      <c r="AE49">
        <f t="shared" si="17"/>
        <v>1</v>
      </c>
      <c r="AF49" s="17">
        <f t="shared" si="29"/>
        <v>1.4943820224719102</v>
      </c>
      <c r="AG49" s="17">
        <f t="shared" si="18"/>
        <v>1.1608391608391608</v>
      </c>
      <c r="AH49" s="18">
        <f t="shared" si="19"/>
        <v>316</v>
      </c>
      <c r="AI49" s="18">
        <f t="shared" si="19"/>
        <v>38</v>
      </c>
      <c r="AJ49">
        <f t="shared" si="20"/>
        <v>1</v>
      </c>
      <c r="AK49">
        <f t="shared" si="21"/>
        <v>1</v>
      </c>
      <c r="AL49">
        <f t="shared" si="22"/>
        <v>1</v>
      </c>
      <c r="AM49" s="17">
        <f t="shared" si="23"/>
        <v>1.5014836795252227</v>
      </c>
      <c r="AN49" s="17">
        <f t="shared" si="24"/>
        <v>1.161764705882353</v>
      </c>
      <c r="AO49" s="18">
        <f>+IFERROR(VLOOKUP(A49,[2]Rank!$B:$E,4,0),"No Ganador")</f>
        <v>5</v>
      </c>
      <c r="AP49" s="18">
        <f>+VLOOKUP(D49,[2]Departamento!$A$1:$B$16,2,0)</f>
        <v>6</v>
      </c>
      <c r="AQ49">
        <f t="shared" si="25"/>
        <v>1</v>
      </c>
    </row>
    <row r="50" spans="1:43" x14ac:dyDescent="0.3">
      <c r="A50" t="s">
        <v>162</v>
      </c>
      <c r="B50" t="s">
        <v>163</v>
      </c>
      <c r="C50" t="s">
        <v>43</v>
      </c>
      <c r="D50" t="s">
        <v>44</v>
      </c>
      <c r="E50" s="10" t="s">
        <v>45</v>
      </c>
      <c r="F50" s="10" t="s">
        <v>46</v>
      </c>
      <c r="G50" s="11">
        <v>95</v>
      </c>
      <c r="H50" s="12">
        <v>57.772727272727266</v>
      </c>
      <c r="I50" s="12">
        <f t="shared" si="0"/>
        <v>95</v>
      </c>
      <c r="J50" s="13">
        <f t="shared" si="27"/>
        <v>114</v>
      </c>
      <c r="K50" s="14">
        <f t="shared" si="2"/>
        <v>103</v>
      </c>
      <c r="L50" s="15">
        <v>8</v>
      </c>
      <c r="M50" s="12">
        <v>4.2272727272727266</v>
      </c>
      <c r="N50" s="12">
        <f t="shared" si="3"/>
        <v>8</v>
      </c>
      <c r="O50" s="13">
        <v>10</v>
      </c>
      <c r="P50" s="16">
        <f t="shared" si="28"/>
        <v>9</v>
      </c>
      <c r="Q50" s="15">
        <f t="shared" si="5"/>
        <v>56.227272727272734</v>
      </c>
      <c r="R50" s="12">
        <f t="shared" si="6"/>
        <v>45.227272727272734</v>
      </c>
      <c r="S50" s="12">
        <f t="shared" si="7"/>
        <v>5.7727272727272734</v>
      </c>
      <c r="T50" s="12">
        <f t="shared" si="8"/>
        <v>4.7727272727272734</v>
      </c>
      <c r="U50" s="17">
        <f t="shared" si="9"/>
        <v>0.9732494099134541</v>
      </c>
      <c r="V50" s="17">
        <f t="shared" si="10"/>
        <v>0.78284815106215588</v>
      </c>
      <c r="W50" s="17">
        <f t="shared" si="11"/>
        <v>1.3655913978494629</v>
      </c>
      <c r="X50" s="17">
        <f t="shared" si="12"/>
        <v>1.1290322580645165</v>
      </c>
      <c r="Y50" s="18">
        <f>+IFERROR(VLOOKUP(A50,[1]Hoja1!$A:$B,2,0),0)</f>
        <v>19</v>
      </c>
      <c r="Z50" s="18">
        <f>+IFERROR(VLOOKUP(A50,[1]Hoja1!$D:$E,2,0),0)</f>
        <v>0</v>
      </c>
      <c r="AA50" s="18">
        <f t="shared" si="14"/>
        <v>54</v>
      </c>
      <c r="AB50" s="18">
        <f t="shared" si="14"/>
        <v>0</v>
      </c>
      <c r="AC50">
        <f t="shared" si="15"/>
        <v>0</v>
      </c>
      <c r="AD50">
        <f t="shared" si="16"/>
        <v>0</v>
      </c>
      <c r="AE50">
        <f t="shared" si="17"/>
        <v>0</v>
      </c>
      <c r="AF50" s="17">
        <f t="shared" si="29"/>
        <v>0.32926829268292684</v>
      </c>
      <c r="AG50" s="17">
        <f t="shared" si="18"/>
        <v>0.47368421052631576</v>
      </c>
      <c r="AH50" s="18">
        <f t="shared" si="19"/>
        <v>102</v>
      </c>
      <c r="AI50" s="18">
        <f t="shared" si="19"/>
        <v>0</v>
      </c>
      <c r="AJ50">
        <f t="shared" si="20"/>
        <v>0</v>
      </c>
      <c r="AK50">
        <f t="shared" si="21"/>
        <v>0</v>
      </c>
      <c r="AL50">
        <f t="shared" si="22"/>
        <v>0</v>
      </c>
      <c r="AM50" s="17">
        <f t="shared" si="23"/>
        <v>0.32692307692307693</v>
      </c>
      <c r="AN50" s="17">
        <f t="shared" si="24"/>
        <v>0.47004608294930877</v>
      </c>
      <c r="AO50" s="18" t="str">
        <f>+IFERROR(VLOOKUP(A50,[2]Rank!$B:$E,4,0),"No Ganador")</f>
        <v>No Ganador</v>
      </c>
      <c r="AP50" s="18">
        <f>+VLOOKUP(D50,[2]Departamento!$A$1:$B$16,2,0)</f>
        <v>6</v>
      </c>
      <c r="AQ50">
        <f t="shared" si="25"/>
        <v>0</v>
      </c>
    </row>
    <row r="51" spans="1:43" x14ac:dyDescent="0.3">
      <c r="A51" t="s">
        <v>164</v>
      </c>
      <c r="B51" t="s">
        <v>165</v>
      </c>
      <c r="C51" t="s">
        <v>43</v>
      </c>
      <c r="D51" t="s">
        <v>44</v>
      </c>
      <c r="E51" s="10" t="s">
        <v>45</v>
      </c>
      <c r="F51" s="10" t="s">
        <v>63</v>
      </c>
      <c r="G51" s="11">
        <v>335</v>
      </c>
      <c r="H51" s="12">
        <v>305.77272727272725</v>
      </c>
      <c r="I51" s="12">
        <f t="shared" si="0"/>
        <v>335</v>
      </c>
      <c r="J51" s="13">
        <f t="shared" si="27"/>
        <v>402</v>
      </c>
      <c r="K51" s="14">
        <f t="shared" si="2"/>
        <v>363</v>
      </c>
      <c r="L51" s="15">
        <v>28</v>
      </c>
      <c r="M51" s="12">
        <v>46.5</v>
      </c>
      <c r="N51" s="12">
        <f t="shared" si="3"/>
        <v>46.5</v>
      </c>
      <c r="O51" s="13">
        <v>56</v>
      </c>
      <c r="P51" s="16">
        <f t="shared" si="28"/>
        <v>51</v>
      </c>
      <c r="Q51" s="15">
        <f t="shared" si="5"/>
        <v>96.227272727272748</v>
      </c>
      <c r="R51" s="12">
        <f t="shared" si="6"/>
        <v>57.227272727272748</v>
      </c>
      <c r="S51" s="12">
        <f t="shared" si="7"/>
        <v>9.5</v>
      </c>
      <c r="T51" s="12">
        <f t="shared" si="8"/>
        <v>4.5</v>
      </c>
      <c r="U51" s="17">
        <f t="shared" si="9"/>
        <v>0.31470194737624513</v>
      </c>
      <c r="V51" s="17">
        <f t="shared" si="10"/>
        <v>0.1871562360636243</v>
      </c>
      <c r="W51" s="17">
        <f t="shared" si="11"/>
        <v>0.20430107526881724</v>
      </c>
      <c r="X51" s="17">
        <f t="shared" si="12"/>
        <v>9.6774193548387011E-2</v>
      </c>
      <c r="Y51" s="18">
        <f>+IFERROR(VLOOKUP(A51,[1]Hoja1!$A:$B,2,0),0)</f>
        <v>77</v>
      </c>
      <c r="Z51" s="18">
        <f>+IFERROR(VLOOKUP(A51,[1]Hoja1!$D:$E,2,0),0)</f>
        <v>13</v>
      </c>
      <c r="AA51" s="18">
        <f t="shared" si="14"/>
        <v>217</v>
      </c>
      <c r="AB51" s="18">
        <f t="shared" si="14"/>
        <v>37</v>
      </c>
      <c r="AC51">
        <f t="shared" si="15"/>
        <v>0</v>
      </c>
      <c r="AD51">
        <f t="shared" si="16"/>
        <v>0</v>
      </c>
      <c r="AE51">
        <f t="shared" si="17"/>
        <v>0</v>
      </c>
      <c r="AF51" s="17">
        <f t="shared" si="29"/>
        <v>0.58944281524926689</v>
      </c>
      <c r="AG51" s="17">
        <f t="shared" si="18"/>
        <v>0.53980099502487566</v>
      </c>
      <c r="AH51" s="18">
        <f t="shared" si="19"/>
        <v>413</v>
      </c>
      <c r="AI51" s="18">
        <f t="shared" si="19"/>
        <v>70</v>
      </c>
      <c r="AJ51">
        <f t="shared" si="20"/>
        <v>0</v>
      </c>
      <c r="AK51">
        <f t="shared" si="21"/>
        <v>0</v>
      </c>
      <c r="AL51">
        <f t="shared" si="22"/>
        <v>0</v>
      </c>
      <c r="AM51" s="17">
        <f t="shared" si="23"/>
        <v>0.58692307692307688</v>
      </c>
      <c r="AN51" s="17">
        <f t="shared" si="24"/>
        <v>0.5398692810457516</v>
      </c>
      <c r="AO51" s="18" t="str">
        <f>+IFERROR(VLOOKUP(A51,[2]Rank!$B:$E,4,0),"No Ganador")</f>
        <v>No Ganador</v>
      </c>
      <c r="AP51" s="18">
        <f>+VLOOKUP(D51,[2]Departamento!$A$1:$B$16,2,0)</f>
        <v>6</v>
      </c>
      <c r="AQ51">
        <f t="shared" si="25"/>
        <v>0</v>
      </c>
    </row>
    <row r="52" spans="1:43" x14ac:dyDescent="0.3">
      <c r="A52" t="s">
        <v>166</v>
      </c>
      <c r="B52" t="s">
        <v>167</v>
      </c>
      <c r="C52" t="s">
        <v>43</v>
      </c>
      <c r="D52" t="s">
        <v>44</v>
      </c>
      <c r="E52" s="10" t="s">
        <v>45</v>
      </c>
      <c r="F52" s="10" t="s">
        <v>63</v>
      </c>
      <c r="G52" s="11">
        <v>268</v>
      </c>
      <c r="H52" s="12">
        <v>232.5</v>
      </c>
      <c r="I52" s="12">
        <f t="shared" si="0"/>
        <v>268</v>
      </c>
      <c r="J52" s="13">
        <f t="shared" si="27"/>
        <v>322</v>
      </c>
      <c r="K52" s="14">
        <f t="shared" si="2"/>
        <v>291</v>
      </c>
      <c r="L52" s="15">
        <v>2</v>
      </c>
      <c r="M52" s="12">
        <v>1.4090909090909092</v>
      </c>
      <c r="N52" s="12">
        <f t="shared" si="3"/>
        <v>2</v>
      </c>
      <c r="O52" s="13">
        <v>3</v>
      </c>
      <c r="P52" s="16">
        <v>3</v>
      </c>
      <c r="Q52" s="15">
        <f t="shared" si="5"/>
        <v>89.5</v>
      </c>
      <c r="R52" s="12">
        <f t="shared" si="6"/>
        <v>58.5</v>
      </c>
      <c r="S52" s="12">
        <f t="shared" si="7"/>
        <v>1.5909090909090908</v>
      </c>
      <c r="T52" s="12">
        <f t="shared" si="8"/>
        <v>1.5909090909090908</v>
      </c>
      <c r="U52" s="17">
        <f t="shared" si="9"/>
        <v>0.38494623655913984</v>
      </c>
      <c r="V52" s="17">
        <f t="shared" si="10"/>
        <v>0.25161290322580654</v>
      </c>
      <c r="W52" s="17">
        <f t="shared" si="11"/>
        <v>1.129032258064516</v>
      </c>
      <c r="X52" s="17">
        <f t="shared" si="12"/>
        <v>1.129032258064516</v>
      </c>
      <c r="Y52" s="18">
        <f>+IFERROR(VLOOKUP(A52,[1]Hoja1!$A:$B,2,0),0)</f>
        <v>24</v>
      </c>
      <c r="Z52" s="18">
        <f>+IFERROR(VLOOKUP(A52,[1]Hoja1!$D:$E,2,0),0)</f>
        <v>0</v>
      </c>
      <c r="AA52" s="18">
        <f t="shared" si="14"/>
        <v>68</v>
      </c>
      <c r="AB52" s="18">
        <f t="shared" si="14"/>
        <v>0</v>
      </c>
      <c r="AC52">
        <f t="shared" si="15"/>
        <v>0</v>
      </c>
      <c r="AD52">
        <f t="shared" si="16"/>
        <v>0</v>
      </c>
      <c r="AE52">
        <f t="shared" si="17"/>
        <v>0</v>
      </c>
      <c r="AF52" s="17">
        <f t="shared" si="29"/>
        <v>0.20178041543026706</v>
      </c>
      <c r="AG52" s="17">
        <f t="shared" si="18"/>
        <v>0.21118012422360249</v>
      </c>
      <c r="AH52" s="18">
        <f t="shared" si="19"/>
        <v>129</v>
      </c>
      <c r="AI52" s="18">
        <f t="shared" si="19"/>
        <v>0</v>
      </c>
      <c r="AJ52">
        <f t="shared" si="20"/>
        <v>0</v>
      </c>
      <c r="AK52">
        <f t="shared" si="21"/>
        <v>0</v>
      </c>
      <c r="AL52">
        <f t="shared" si="22"/>
        <v>0</v>
      </c>
      <c r="AM52" s="17">
        <f t="shared" si="23"/>
        <v>0.20062208398133749</v>
      </c>
      <c r="AN52" s="17">
        <f t="shared" si="24"/>
        <v>0.21044045676998369</v>
      </c>
      <c r="AO52" s="18" t="str">
        <f>+IFERROR(VLOOKUP(A52,[2]Rank!$B:$E,4,0),"No Ganador")</f>
        <v>No Ganador</v>
      </c>
      <c r="AP52" s="18">
        <f>+VLOOKUP(D52,[2]Departamento!$A$1:$B$16,2,0)</f>
        <v>6</v>
      </c>
      <c r="AQ52">
        <f t="shared" si="25"/>
        <v>0</v>
      </c>
    </row>
    <row r="53" spans="1:43" x14ac:dyDescent="0.3">
      <c r="A53" t="s">
        <v>168</v>
      </c>
      <c r="B53" t="s">
        <v>169</v>
      </c>
      <c r="C53" t="s">
        <v>43</v>
      </c>
      <c r="D53" t="s">
        <v>159</v>
      </c>
      <c r="E53" s="10" t="s">
        <v>57</v>
      </c>
      <c r="F53" s="10" t="s">
        <v>51</v>
      </c>
      <c r="G53" s="11">
        <v>197</v>
      </c>
      <c r="H53" s="12">
        <v>166.27272727272725</v>
      </c>
      <c r="I53" s="12">
        <f t="shared" si="0"/>
        <v>197</v>
      </c>
      <c r="J53" s="13">
        <f t="shared" si="27"/>
        <v>236</v>
      </c>
      <c r="K53" s="14">
        <f t="shared" si="2"/>
        <v>213</v>
      </c>
      <c r="L53" s="15">
        <v>0</v>
      </c>
      <c r="M53" s="12">
        <v>0</v>
      </c>
      <c r="N53" s="12">
        <f t="shared" si="3"/>
        <v>0</v>
      </c>
      <c r="O53" s="13">
        <v>1</v>
      </c>
      <c r="P53" s="16">
        <f t="shared" si="28"/>
        <v>1</v>
      </c>
      <c r="Q53" s="15">
        <f t="shared" si="5"/>
        <v>69.727272727272748</v>
      </c>
      <c r="R53" s="12">
        <f t="shared" si="6"/>
        <v>46.727272727272748</v>
      </c>
      <c r="S53" s="12">
        <f t="shared" si="7"/>
        <v>1</v>
      </c>
      <c r="T53" s="12">
        <f t="shared" si="8"/>
        <v>1</v>
      </c>
      <c r="U53" s="17">
        <f t="shared" si="9"/>
        <v>0.41935483870967749</v>
      </c>
      <c r="V53" s="17">
        <f t="shared" si="10"/>
        <v>0.28102788408966672</v>
      </c>
      <c r="W53" s="17" t="str">
        <f t="shared" si="11"/>
        <v>-</v>
      </c>
      <c r="X53" s="17">
        <f t="shared" si="12"/>
        <v>0</v>
      </c>
      <c r="Y53" s="18">
        <f>+IFERROR(VLOOKUP(A53,[1]Hoja1!$A:$B,2,0),0)</f>
        <v>11</v>
      </c>
      <c r="Z53" s="18">
        <f>+IFERROR(VLOOKUP(A53,[1]Hoja1!$D:$E,2,0),0)</f>
        <v>0</v>
      </c>
      <c r="AA53" s="18">
        <f t="shared" si="14"/>
        <v>31</v>
      </c>
      <c r="AB53" s="18">
        <f t="shared" si="14"/>
        <v>0</v>
      </c>
      <c r="AC53">
        <f t="shared" si="15"/>
        <v>0</v>
      </c>
      <c r="AD53">
        <f t="shared" si="16"/>
        <v>0</v>
      </c>
      <c r="AE53">
        <f t="shared" si="17"/>
        <v>0</v>
      </c>
      <c r="AF53" s="17">
        <f t="shared" si="29"/>
        <v>0.12863070539419086</v>
      </c>
      <c r="AG53" s="17">
        <f t="shared" si="18"/>
        <v>0.13135593220338984</v>
      </c>
      <c r="AH53" s="18">
        <f t="shared" si="19"/>
        <v>59</v>
      </c>
      <c r="AI53" s="18">
        <f t="shared" si="19"/>
        <v>0</v>
      </c>
      <c r="AJ53">
        <f t="shared" si="20"/>
        <v>0</v>
      </c>
      <c r="AK53">
        <f t="shared" si="21"/>
        <v>0</v>
      </c>
      <c r="AL53">
        <f t="shared" si="22"/>
        <v>0</v>
      </c>
      <c r="AM53" s="17">
        <f t="shared" si="23"/>
        <v>0.12854030501089325</v>
      </c>
      <c r="AN53" s="17">
        <f t="shared" si="24"/>
        <v>0.13140311804008908</v>
      </c>
      <c r="AO53" s="18" t="str">
        <f>+IFERROR(VLOOKUP(A53,[2]Rank!$B:$E,4,0),"No Ganador")</f>
        <v>No Ganador</v>
      </c>
      <c r="AP53" s="18">
        <f>+VLOOKUP(D53,[2]Departamento!$A$1:$B$16,2,0)</f>
        <v>2</v>
      </c>
      <c r="AQ53">
        <f t="shared" si="25"/>
        <v>0</v>
      </c>
    </row>
    <row r="54" spans="1:43" x14ac:dyDescent="0.3">
      <c r="A54" t="s">
        <v>170</v>
      </c>
      <c r="B54" t="s">
        <v>171</v>
      </c>
      <c r="C54" t="s">
        <v>43</v>
      </c>
      <c r="D54" t="s">
        <v>74</v>
      </c>
      <c r="E54" s="10" t="s">
        <v>57</v>
      </c>
      <c r="F54" s="10" t="s">
        <v>75</v>
      </c>
      <c r="G54" s="11">
        <v>283</v>
      </c>
      <c r="H54" s="12">
        <v>252.22727272727275</v>
      </c>
      <c r="I54" s="12">
        <f t="shared" si="0"/>
        <v>283</v>
      </c>
      <c r="J54" s="13">
        <f t="shared" si="27"/>
        <v>340</v>
      </c>
      <c r="K54" s="14">
        <f t="shared" si="2"/>
        <v>307</v>
      </c>
      <c r="L54" s="15">
        <v>72</v>
      </c>
      <c r="M54" s="12">
        <v>74.681818181818187</v>
      </c>
      <c r="N54" s="12">
        <f t="shared" si="3"/>
        <v>74.681818181818187</v>
      </c>
      <c r="O54" s="13">
        <v>90</v>
      </c>
      <c r="P54" s="16">
        <f t="shared" si="28"/>
        <v>81</v>
      </c>
      <c r="Q54" s="15">
        <f t="shared" si="5"/>
        <v>87.772727272727252</v>
      </c>
      <c r="R54" s="12">
        <f t="shared" si="6"/>
        <v>54.772727272727252</v>
      </c>
      <c r="S54" s="12">
        <f t="shared" si="7"/>
        <v>15.318181818181813</v>
      </c>
      <c r="T54" s="12">
        <f t="shared" si="8"/>
        <v>6.318181818181813</v>
      </c>
      <c r="U54" s="17">
        <f t="shared" si="9"/>
        <v>0.34799062894215171</v>
      </c>
      <c r="V54" s="17">
        <f t="shared" si="10"/>
        <v>0.21715624436835457</v>
      </c>
      <c r="W54" s="17">
        <f t="shared" si="11"/>
        <v>0.20511259890444311</v>
      </c>
      <c r="X54" s="17">
        <f t="shared" si="12"/>
        <v>8.46013390139988E-2</v>
      </c>
      <c r="Y54" s="18">
        <f>+IFERROR(VLOOKUP(A54,[1]Hoja1!$A:$B,2,0),0)</f>
        <v>227</v>
      </c>
      <c r="Z54" s="18">
        <f>+IFERROR(VLOOKUP(A54,[1]Hoja1!$D:$E,2,0),0)</f>
        <v>51</v>
      </c>
      <c r="AA54" s="18">
        <f t="shared" si="14"/>
        <v>640</v>
      </c>
      <c r="AB54" s="18">
        <f t="shared" si="14"/>
        <v>144</v>
      </c>
      <c r="AC54">
        <f t="shared" si="15"/>
        <v>1</v>
      </c>
      <c r="AD54">
        <f t="shared" si="16"/>
        <v>1</v>
      </c>
      <c r="AE54">
        <f t="shared" si="17"/>
        <v>1</v>
      </c>
      <c r="AF54" s="17">
        <f t="shared" si="29"/>
        <v>1.7215189873417722</v>
      </c>
      <c r="AG54" s="17">
        <f t="shared" si="18"/>
        <v>1.8823529411764706</v>
      </c>
      <c r="AH54" s="18">
        <f t="shared" si="19"/>
        <v>1218</v>
      </c>
      <c r="AI54" s="18">
        <f t="shared" si="19"/>
        <v>274</v>
      </c>
      <c r="AJ54">
        <f t="shared" si="20"/>
        <v>1</v>
      </c>
      <c r="AK54">
        <f t="shared" si="21"/>
        <v>1</v>
      </c>
      <c r="AL54">
        <f t="shared" si="22"/>
        <v>1</v>
      </c>
      <c r="AM54" s="17">
        <f t="shared" si="23"/>
        <v>1.7230359520639147</v>
      </c>
      <c r="AN54" s="17">
        <f t="shared" si="24"/>
        <v>1.8825347758887172</v>
      </c>
      <c r="AO54" s="18">
        <f>+IFERROR(VLOOKUP(A54,[2]Rank!$B:$E,4,0),"No Ganador")</f>
        <v>1</v>
      </c>
      <c r="AP54" s="18">
        <f>+VLOOKUP(D54,[2]Departamento!$A$1:$B$16,2,0)</f>
        <v>2</v>
      </c>
      <c r="AQ54">
        <f t="shared" si="25"/>
        <v>1</v>
      </c>
    </row>
    <row r="55" spans="1:43" x14ac:dyDescent="0.3">
      <c r="A55" t="s">
        <v>172</v>
      </c>
      <c r="B55" t="s">
        <v>173</v>
      </c>
      <c r="C55" t="s">
        <v>43</v>
      </c>
      <c r="D55" t="s">
        <v>44</v>
      </c>
      <c r="E55" s="10" t="s">
        <v>45</v>
      </c>
      <c r="F55" s="10" t="s">
        <v>63</v>
      </c>
      <c r="G55" s="11">
        <v>123</v>
      </c>
      <c r="H55" s="12">
        <v>98.636363636363626</v>
      </c>
      <c r="I55" s="12">
        <f t="shared" si="0"/>
        <v>123</v>
      </c>
      <c r="J55" s="13">
        <f t="shared" si="27"/>
        <v>148</v>
      </c>
      <c r="K55" s="14">
        <f t="shared" si="2"/>
        <v>134</v>
      </c>
      <c r="L55" s="15">
        <v>3</v>
      </c>
      <c r="M55" s="12">
        <v>2.8181818181818183</v>
      </c>
      <c r="N55" s="12">
        <f t="shared" si="3"/>
        <v>3</v>
      </c>
      <c r="O55" s="13">
        <v>4</v>
      </c>
      <c r="P55" s="16">
        <f t="shared" si="28"/>
        <v>4</v>
      </c>
      <c r="Q55" s="15">
        <f t="shared" si="5"/>
        <v>49.363636363636374</v>
      </c>
      <c r="R55" s="12">
        <f t="shared" si="6"/>
        <v>35.363636363636374</v>
      </c>
      <c r="S55" s="12">
        <f t="shared" si="7"/>
        <v>1.1818181818181817</v>
      </c>
      <c r="T55" s="12">
        <f t="shared" si="8"/>
        <v>1.1818181818181817</v>
      </c>
      <c r="U55" s="17">
        <f t="shared" si="9"/>
        <v>0.50046082949308768</v>
      </c>
      <c r="V55" s="17">
        <f t="shared" si="10"/>
        <v>0.35852534562212002</v>
      </c>
      <c r="W55" s="17">
        <f t="shared" si="11"/>
        <v>0.41935483870967727</v>
      </c>
      <c r="X55" s="17">
        <f t="shared" si="12"/>
        <v>0.41935483870967727</v>
      </c>
      <c r="Y55" s="18">
        <f>+IFERROR(VLOOKUP(A55,[1]Hoja1!$A:$B,2,0),0)</f>
        <v>18</v>
      </c>
      <c r="Z55" s="18">
        <f>+IFERROR(VLOOKUP(A55,[1]Hoja1!$D:$E,2,0),0)</f>
        <v>1</v>
      </c>
      <c r="AA55" s="18">
        <f t="shared" si="14"/>
        <v>51</v>
      </c>
      <c r="AB55" s="18">
        <f t="shared" si="14"/>
        <v>3</v>
      </c>
      <c r="AC55">
        <f t="shared" si="15"/>
        <v>0</v>
      </c>
      <c r="AD55">
        <f t="shared" si="16"/>
        <v>0</v>
      </c>
      <c r="AE55">
        <f t="shared" si="17"/>
        <v>0</v>
      </c>
      <c r="AF55" s="17">
        <f t="shared" si="29"/>
        <v>0.39285714285714285</v>
      </c>
      <c r="AG55" s="17">
        <f t="shared" si="18"/>
        <v>0.34459459459459457</v>
      </c>
      <c r="AH55" s="18">
        <f t="shared" si="19"/>
        <v>97</v>
      </c>
      <c r="AI55" s="18">
        <f t="shared" si="19"/>
        <v>5</v>
      </c>
      <c r="AJ55">
        <f t="shared" si="20"/>
        <v>0</v>
      </c>
      <c r="AK55">
        <f t="shared" si="21"/>
        <v>0</v>
      </c>
      <c r="AL55">
        <f t="shared" si="22"/>
        <v>0</v>
      </c>
      <c r="AM55" s="17">
        <f t="shared" si="23"/>
        <v>0.37888198757763975</v>
      </c>
      <c r="AN55" s="17">
        <f t="shared" si="24"/>
        <v>0.34397163120567376</v>
      </c>
      <c r="AO55" s="18" t="str">
        <f>+IFERROR(VLOOKUP(A55,[2]Rank!$B:$E,4,0),"No Ganador")</f>
        <v>No Ganador</v>
      </c>
      <c r="AP55" s="18">
        <f>+VLOOKUP(D55,[2]Departamento!$A$1:$B$16,2,0)</f>
        <v>6</v>
      </c>
      <c r="AQ55">
        <f t="shared" si="25"/>
        <v>0</v>
      </c>
    </row>
    <row r="56" spans="1:43" x14ac:dyDescent="0.3">
      <c r="A56" t="s">
        <v>174</v>
      </c>
      <c r="B56" t="s">
        <v>175</v>
      </c>
      <c r="C56" t="s">
        <v>43</v>
      </c>
      <c r="D56" t="s">
        <v>44</v>
      </c>
      <c r="E56" s="10" t="s">
        <v>45</v>
      </c>
      <c r="F56" s="10" t="s">
        <v>63</v>
      </c>
      <c r="G56" s="11">
        <v>86</v>
      </c>
      <c r="H56" s="12">
        <v>59.181818181818187</v>
      </c>
      <c r="I56" s="12">
        <f t="shared" si="0"/>
        <v>86</v>
      </c>
      <c r="J56" s="13">
        <f t="shared" si="27"/>
        <v>103</v>
      </c>
      <c r="K56" s="14">
        <f t="shared" si="2"/>
        <v>93</v>
      </c>
      <c r="L56" s="15">
        <v>1</v>
      </c>
      <c r="M56" s="12">
        <v>0</v>
      </c>
      <c r="N56" s="12">
        <f t="shared" si="3"/>
        <v>1</v>
      </c>
      <c r="O56" s="13">
        <v>2</v>
      </c>
      <c r="P56" s="16">
        <f t="shared" si="28"/>
        <v>2</v>
      </c>
      <c r="Q56" s="15">
        <f t="shared" si="5"/>
        <v>43.818181818181813</v>
      </c>
      <c r="R56" s="12">
        <f t="shared" si="6"/>
        <v>33.818181818181813</v>
      </c>
      <c r="S56" s="12">
        <f t="shared" si="7"/>
        <v>2</v>
      </c>
      <c r="T56" s="12">
        <f t="shared" si="8"/>
        <v>2</v>
      </c>
      <c r="U56" s="17">
        <f t="shared" si="9"/>
        <v>0.74039938556067564</v>
      </c>
      <c r="V56" s="17">
        <f t="shared" si="10"/>
        <v>0.5714285714285714</v>
      </c>
      <c r="W56" s="17" t="str">
        <f t="shared" si="11"/>
        <v>-</v>
      </c>
      <c r="X56" s="17">
        <f t="shared" si="12"/>
        <v>0</v>
      </c>
      <c r="Y56" s="18">
        <f>+IFERROR(VLOOKUP(A56,[1]Hoja1!$A:$B,2,0),0)</f>
        <v>29</v>
      </c>
      <c r="Z56" s="18">
        <f>+IFERROR(VLOOKUP(A56,[1]Hoja1!$D:$E,2,0),0)</f>
        <v>0</v>
      </c>
      <c r="AA56" s="18">
        <f t="shared" si="14"/>
        <v>82</v>
      </c>
      <c r="AB56" s="18">
        <f t="shared" si="14"/>
        <v>0</v>
      </c>
      <c r="AC56">
        <f t="shared" si="15"/>
        <v>0</v>
      </c>
      <c r="AD56">
        <f t="shared" si="16"/>
        <v>0</v>
      </c>
      <c r="AE56">
        <f t="shared" si="17"/>
        <v>0</v>
      </c>
      <c r="AF56" s="17">
        <f t="shared" si="29"/>
        <v>0.72566371681415931</v>
      </c>
      <c r="AG56" s="17">
        <f t="shared" si="18"/>
        <v>0.79611650485436891</v>
      </c>
      <c r="AH56" s="18">
        <f t="shared" si="19"/>
        <v>156</v>
      </c>
      <c r="AI56" s="18">
        <f t="shared" si="19"/>
        <v>0</v>
      </c>
      <c r="AJ56">
        <f t="shared" si="20"/>
        <v>0</v>
      </c>
      <c r="AK56">
        <f t="shared" si="21"/>
        <v>0</v>
      </c>
      <c r="AL56">
        <f t="shared" si="22"/>
        <v>0</v>
      </c>
      <c r="AM56" s="17">
        <f t="shared" si="23"/>
        <v>0.72222222222222221</v>
      </c>
      <c r="AN56" s="17">
        <f t="shared" si="24"/>
        <v>0.79591836734693877</v>
      </c>
      <c r="AO56" s="18" t="str">
        <f>+IFERROR(VLOOKUP(A56,[2]Rank!$B:$E,4,0),"No Ganador")</f>
        <v>No Ganador</v>
      </c>
      <c r="AP56" s="18">
        <f>+VLOOKUP(D56,[2]Departamento!$A$1:$B$16,2,0)</f>
        <v>6</v>
      </c>
      <c r="AQ56">
        <f t="shared" si="25"/>
        <v>0</v>
      </c>
    </row>
    <row r="57" spans="1:43" x14ac:dyDescent="0.3">
      <c r="A57" t="s">
        <v>176</v>
      </c>
      <c r="B57" t="s">
        <v>177</v>
      </c>
      <c r="C57" t="s">
        <v>43</v>
      </c>
      <c r="D57" t="s">
        <v>44</v>
      </c>
      <c r="E57" s="10" t="s">
        <v>45</v>
      </c>
      <c r="F57" s="10" t="s">
        <v>63</v>
      </c>
      <c r="G57" s="11">
        <v>409</v>
      </c>
      <c r="H57" s="12">
        <v>384.68181818181813</v>
      </c>
      <c r="I57" s="12">
        <f t="shared" si="0"/>
        <v>409</v>
      </c>
      <c r="J57" s="13">
        <f t="shared" si="27"/>
        <v>491</v>
      </c>
      <c r="K57" s="14">
        <f t="shared" si="2"/>
        <v>443</v>
      </c>
      <c r="L57" s="15">
        <v>1</v>
      </c>
      <c r="M57" s="12">
        <v>0</v>
      </c>
      <c r="N57" s="12">
        <f t="shared" si="3"/>
        <v>1</v>
      </c>
      <c r="O57" s="13">
        <v>2</v>
      </c>
      <c r="P57" s="16">
        <f t="shared" si="28"/>
        <v>2</v>
      </c>
      <c r="Q57" s="15">
        <f t="shared" si="5"/>
        <v>106.31818181818187</v>
      </c>
      <c r="R57" s="12">
        <f t="shared" si="6"/>
        <v>58.31818181818187</v>
      </c>
      <c r="S57" s="12">
        <f t="shared" si="7"/>
        <v>2</v>
      </c>
      <c r="T57" s="12">
        <f t="shared" si="8"/>
        <v>2</v>
      </c>
      <c r="U57" s="17">
        <f t="shared" si="9"/>
        <v>0.27637953444405072</v>
      </c>
      <c r="V57" s="17">
        <f t="shared" si="10"/>
        <v>0.15160108708495823</v>
      </c>
      <c r="W57" s="17" t="str">
        <f t="shared" si="11"/>
        <v>-</v>
      </c>
      <c r="X57" s="17">
        <f t="shared" si="12"/>
        <v>0</v>
      </c>
      <c r="Y57" s="18">
        <f>+IFERROR(VLOOKUP(A57,[1]Hoja1!$A:$B,2,0),0)</f>
        <v>131</v>
      </c>
      <c r="Z57" s="18">
        <f>+IFERROR(VLOOKUP(A57,[1]Hoja1!$D:$E,2,0),0)</f>
        <v>9</v>
      </c>
      <c r="AA57" s="18">
        <f t="shared" si="14"/>
        <v>369</v>
      </c>
      <c r="AB57" s="18">
        <f t="shared" si="14"/>
        <v>25</v>
      </c>
      <c r="AC57">
        <f t="shared" si="15"/>
        <v>0</v>
      </c>
      <c r="AD57">
        <f t="shared" si="16"/>
        <v>1</v>
      </c>
      <c r="AE57">
        <f t="shared" si="17"/>
        <v>0</v>
      </c>
      <c r="AF57" s="17">
        <f t="shared" si="29"/>
        <v>0.98602794411177641</v>
      </c>
      <c r="AG57" s="17">
        <f t="shared" si="18"/>
        <v>0.75152749490835036</v>
      </c>
      <c r="AH57" s="18">
        <f t="shared" si="19"/>
        <v>703</v>
      </c>
      <c r="AI57" s="18">
        <f t="shared" si="19"/>
        <v>48</v>
      </c>
      <c r="AJ57">
        <f t="shared" si="20"/>
        <v>0</v>
      </c>
      <c r="AK57">
        <f t="shared" si="21"/>
        <v>1</v>
      </c>
      <c r="AL57">
        <f t="shared" si="22"/>
        <v>0</v>
      </c>
      <c r="AM57" s="17">
        <f t="shared" si="23"/>
        <v>0.98846960167714881</v>
      </c>
      <c r="AN57" s="17">
        <f t="shared" si="24"/>
        <v>0.75267665952890794</v>
      </c>
      <c r="AO57" s="18" t="str">
        <f>+IFERROR(VLOOKUP(A57,[2]Rank!$B:$E,4,0),"No Ganador")</f>
        <v>No Ganador</v>
      </c>
      <c r="AP57" s="18">
        <f>+VLOOKUP(D57,[2]Departamento!$A$1:$B$16,2,0)</f>
        <v>6</v>
      </c>
      <c r="AQ57">
        <f t="shared" si="25"/>
        <v>0</v>
      </c>
    </row>
    <row r="58" spans="1:43" x14ac:dyDescent="0.3">
      <c r="A58" t="s">
        <v>178</v>
      </c>
      <c r="B58" t="s">
        <v>179</v>
      </c>
      <c r="C58" t="s">
        <v>43</v>
      </c>
      <c r="D58" t="s">
        <v>44</v>
      </c>
      <c r="E58" s="10" t="s">
        <v>45</v>
      </c>
      <c r="F58" s="10" t="s">
        <v>63</v>
      </c>
      <c r="G58" s="11">
        <v>93</v>
      </c>
      <c r="H58" s="12">
        <v>69.045454545454533</v>
      </c>
      <c r="I58" s="12">
        <f t="shared" si="0"/>
        <v>93</v>
      </c>
      <c r="J58" s="13">
        <f t="shared" si="27"/>
        <v>112</v>
      </c>
      <c r="K58" s="14">
        <f t="shared" si="2"/>
        <v>101</v>
      </c>
      <c r="L58" s="15">
        <v>1</v>
      </c>
      <c r="M58" s="12">
        <v>1.4090909090909092</v>
      </c>
      <c r="N58" s="12">
        <f t="shared" si="3"/>
        <v>1.4090909090909092</v>
      </c>
      <c r="O58" s="13">
        <v>2</v>
      </c>
      <c r="P58" s="16">
        <f t="shared" si="28"/>
        <v>2</v>
      </c>
      <c r="Q58" s="15">
        <f t="shared" si="5"/>
        <v>42.954545454545467</v>
      </c>
      <c r="R58" s="12">
        <f t="shared" si="6"/>
        <v>31.954545454545467</v>
      </c>
      <c r="S58" s="12">
        <f t="shared" si="7"/>
        <v>0.59090909090909083</v>
      </c>
      <c r="T58" s="12">
        <f t="shared" si="8"/>
        <v>0.59090909090909083</v>
      </c>
      <c r="U58" s="17">
        <f t="shared" si="9"/>
        <v>0.62211981566820307</v>
      </c>
      <c r="V58" s="17">
        <f t="shared" si="10"/>
        <v>0.46280447662936175</v>
      </c>
      <c r="W58" s="17">
        <f t="shared" si="11"/>
        <v>0.41935483870967727</v>
      </c>
      <c r="X58" s="17">
        <f t="shared" si="12"/>
        <v>0.41935483870967727</v>
      </c>
      <c r="Y58" s="18">
        <f>+IFERROR(VLOOKUP(A58,[1]Hoja1!$A:$B,2,0),0)</f>
        <v>35</v>
      </c>
      <c r="Z58" s="18">
        <f>+IFERROR(VLOOKUP(A58,[1]Hoja1!$D:$E,2,0),0)</f>
        <v>0</v>
      </c>
      <c r="AA58" s="18">
        <f t="shared" si="14"/>
        <v>99</v>
      </c>
      <c r="AB58" s="18">
        <f t="shared" si="14"/>
        <v>0</v>
      </c>
      <c r="AC58">
        <f t="shared" si="15"/>
        <v>0</v>
      </c>
      <c r="AD58">
        <f t="shared" si="16"/>
        <v>0</v>
      </c>
      <c r="AE58">
        <f t="shared" si="17"/>
        <v>0</v>
      </c>
      <c r="AF58" s="17">
        <f t="shared" si="29"/>
        <v>0.81147540983606559</v>
      </c>
      <c r="AG58" s="17">
        <f t="shared" si="18"/>
        <v>0.8839285714285714</v>
      </c>
      <c r="AH58" s="18">
        <f t="shared" si="19"/>
        <v>188</v>
      </c>
      <c r="AI58" s="18">
        <f t="shared" si="19"/>
        <v>0</v>
      </c>
      <c r="AJ58">
        <f t="shared" si="20"/>
        <v>0</v>
      </c>
      <c r="AK58">
        <f t="shared" si="21"/>
        <v>0</v>
      </c>
      <c r="AL58">
        <f t="shared" si="22"/>
        <v>0</v>
      </c>
      <c r="AM58" s="17">
        <f t="shared" si="23"/>
        <v>0.80686695278969955</v>
      </c>
      <c r="AN58" s="17">
        <f t="shared" si="24"/>
        <v>0.88262910798122063</v>
      </c>
      <c r="AO58" s="18" t="str">
        <f>+IFERROR(VLOOKUP(A58,[2]Rank!$B:$E,4,0),"No Ganador")</f>
        <v>No Ganador</v>
      </c>
      <c r="AP58" s="18">
        <f>+VLOOKUP(D58,[2]Departamento!$A$1:$B$16,2,0)</f>
        <v>6</v>
      </c>
      <c r="AQ58">
        <f t="shared" si="25"/>
        <v>0</v>
      </c>
    </row>
    <row r="59" spans="1:43" x14ac:dyDescent="0.3">
      <c r="A59" t="s">
        <v>180</v>
      </c>
      <c r="B59" t="s">
        <v>181</v>
      </c>
      <c r="C59" t="s">
        <v>43</v>
      </c>
      <c r="D59" t="s">
        <v>182</v>
      </c>
      <c r="E59" s="10" t="s">
        <v>183</v>
      </c>
      <c r="F59" s="10" t="s">
        <v>51</v>
      </c>
      <c r="G59" s="11">
        <v>205</v>
      </c>
      <c r="H59" s="12">
        <v>178.95454545454544</v>
      </c>
      <c r="I59" s="12">
        <f t="shared" si="0"/>
        <v>205</v>
      </c>
      <c r="J59" s="13">
        <f t="shared" si="27"/>
        <v>246</v>
      </c>
      <c r="K59" s="14">
        <f t="shared" si="2"/>
        <v>222</v>
      </c>
      <c r="L59" s="15">
        <v>2</v>
      </c>
      <c r="M59" s="12">
        <v>2.8181818181818183</v>
      </c>
      <c r="N59" s="12">
        <f t="shared" si="3"/>
        <v>2.8181818181818183</v>
      </c>
      <c r="O59" s="13">
        <v>4</v>
      </c>
      <c r="P59" s="16">
        <f t="shared" si="28"/>
        <v>4</v>
      </c>
      <c r="Q59" s="15">
        <f t="shared" si="5"/>
        <v>67.045454545454561</v>
      </c>
      <c r="R59" s="12">
        <f t="shared" si="6"/>
        <v>43.045454545454561</v>
      </c>
      <c r="S59" s="12">
        <f t="shared" si="7"/>
        <v>1.1818181818181817</v>
      </c>
      <c r="T59" s="12">
        <f t="shared" si="8"/>
        <v>1.1818181818181817</v>
      </c>
      <c r="U59" s="17">
        <f t="shared" si="9"/>
        <v>0.37465074930149878</v>
      </c>
      <c r="V59" s="17">
        <f t="shared" si="10"/>
        <v>0.24053848107696219</v>
      </c>
      <c r="W59" s="17">
        <f t="shared" si="11"/>
        <v>0.41935483870967727</v>
      </c>
      <c r="X59" s="17">
        <f t="shared" si="12"/>
        <v>0.41935483870967727</v>
      </c>
      <c r="Y59" s="18">
        <f>+IFERROR(VLOOKUP(A59,[1]Hoja1!$A:$B,2,0),0)</f>
        <v>31</v>
      </c>
      <c r="Z59" s="18">
        <f>+IFERROR(VLOOKUP(A59,[1]Hoja1!$D:$E,2,0),0)</f>
        <v>0</v>
      </c>
      <c r="AA59" s="18">
        <f t="shared" si="14"/>
        <v>87</v>
      </c>
      <c r="AB59" s="18">
        <f t="shared" si="14"/>
        <v>0</v>
      </c>
      <c r="AC59">
        <f t="shared" si="15"/>
        <v>0</v>
      </c>
      <c r="AD59">
        <f t="shared" si="16"/>
        <v>0</v>
      </c>
      <c r="AE59">
        <f t="shared" si="17"/>
        <v>0</v>
      </c>
      <c r="AF59" s="17">
        <f t="shared" si="29"/>
        <v>0.32706766917293234</v>
      </c>
      <c r="AG59" s="17">
        <f t="shared" si="18"/>
        <v>0.35365853658536583</v>
      </c>
      <c r="AH59" s="18">
        <f t="shared" si="19"/>
        <v>166</v>
      </c>
      <c r="AI59" s="18">
        <f t="shared" si="19"/>
        <v>0</v>
      </c>
      <c r="AJ59">
        <f t="shared" si="20"/>
        <v>0</v>
      </c>
      <c r="AK59">
        <f t="shared" si="21"/>
        <v>0</v>
      </c>
      <c r="AL59">
        <f t="shared" si="22"/>
        <v>0</v>
      </c>
      <c r="AM59" s="17">
        <f t="shared" si="23"/>
        <v>0.32677165354330706</v>
      </c>
      <c r="AN59" s="17">
        <f t="shared" si="24"/>
        <v>0.35470085470085472</v>
      </c>
      <c r="AO59" s="18" t="str">
        <f>+IFERROR(VLOOKUP(A59,[2]Rank!$B:$E,4,0),"No Ganador")</f>
        <v>No Ganador</v>
      </c>
      <c r="AP59" s="18">
        <f>+VLOOKUP(D59,[2]Departamento!$A$1:$B$16,2,0)</f>
        <v>1</v>
      </c>
      <c r="AQ59">
        <f t="shared" si="25"/>
        <v>0</v>
      </c>
    </row>
    <row r="60" spans="1:43" x14ac:dyDescent="0.3">
      <c r="A60" t="s">
        <v>184</v>
      </c>
      <c r="B60" t="s">
        <v>185</v>
      </c>
      <c r="C60" t="s">
        <v>43</v>
      </c>
      <c r="D60" t="s">
        <v>99</v>
      </c>
      <c r="E60" s="10" t="s">
        <v>57</v>
      </c>
      <c r="F60" s="10" t="s">
        <v>46</v>
      </c>
      <c r="G60" s="11">
        <v>79</v>
      </c>
      <c r="H60" s="12">
        <v>56.36363636363636</v>
      </c>
      <c r="I60" s="12">
        <f t="shared" si="0"/>
        <v>79</v>
      </c>
      <c r="J60" s="13">
        <f t="shared" si="27"/>
        <v>95</v>
      </c>
      <c r="K60" s="14">
        <f t="shared" si="2"/>
        <v>86</v>
      </c>
      <c r="L60" s="15">
        <v>2</v>
      </c>
      <c r="M60" s="12">
        <v>5.6363636363636367</v>
      </c>
      <c r="N60" s="12">
        <f t="shared" si="3"/>
        <v>5.6363636363636367</v>
      </c>
      <c r="O60" s="13">
        <v>7</v>
      </c>
      <c r="P60" s="16">
        <f t="shared" si="28"/>
        <v>6</v>
      </c>
      <c r="Q60" s="15">
        <f t="shared" si="5"/>
        <v>38.63636363636364</v>
      </c>
      <c r="R60" s="12">
        <f t="shared" si="6"/>
        <v>29.63636363636364</v>
      </c>
      <c r="S60" s="12">
        <f t="shared" si="7"/>
        <v>1.3636363636363633</v>
      </c>
      <c r="T60" s="12">
        <f t="shared" si="8"/>
        <v>0.36363636363636331</v>
      </c>
      <c r="U60" s="17">
        <f t="shared" si="9"/>
        <v>0.68548387096774199</v>
      </c>
      <c r="V60" s="17">
        <f t="shared" si="10"/>
        <v>0.52580645161290329</v>
      </c>
      <c r="W60" s="17">
        <f t="shared" si="11"/>
        <v>0.24193548387096775</v>
      </c>
      <c r="X60" s="17">
        <f t="shared" si="12"/>
        <v>6.4516129032258007E-2</v>
      </c>
      <c r="Y60" s="18">
        <f>+IFERROR(VLOOKUP(A60,[1]Hoja1!$A:$B,2,0),0)</f>
        <v>18</v>
      </c>
      <c r="Z60" s="18">
        <f>+IFERROR(VLOOKUP(A60,[1]Hoja1!$D:$E,2,0),0)</f>
        <v>1</v>
      </c>
      <c r="AA60" s="18">
        <f t="shared" si="14"/>
        <v>51</v>
      </c>
      <c r="AB60" s="18">
        <f t="shared" si="14"/>
        <v>3</v>
      </c>
      <c r="AC60">
        <f t="shared" si="15"/>
        <v>0</v>
      </c>
      <c r="AD60">
        <f t="shared" si="16"/>
        <v>0</v>
      </c>
      <c r="AE60">
        <f t="shared" si="17"/>
        <v>0</v>
      </c>
      <c r="AF60" s="17">
        <f t="shared" si="29"/>
        <v>0.50769230769230766</v>
      </c>
      <c r="AG60" s="17">
        <f t="shared" si="18"/>
        <v>0.5368421052631579</v>
      </c>
      <c r="AH60" s="18">
        <f t="shared" si="19"/>
        <v>97</v>
      </c>
      <c r="AI60" s="18">
        <f t="shared" si="19"/>
        <v>5</v>
      </c>
      <c r="AJ60">
        <f t="shared" si="20"/>
        <v>0</v>
      </c>
      <c r="AK60">
        <f t="shared" si="21"/>
        <v>0</v>
      </c>
      <c r="AL60">
        <f t="shared" si="22"/>
        <v>0</v>
      </c>
      <c r="AM60" s="17">
        <f t="shared" si="23"/>
        <v>0.49593495934959347</v>
      </c>
      <c r="AN60" s="17">
        <f t="shared" si="24"/>
        <v>0.53591160220994472</v>
      </c>
      <c r="AO60" s="18" t="str">
        <f>+IFERROR(VLOOKUP(A60,[2]Rank!$B:$E,4,0),"No Ganador")</f>
        <v>No Ganador</v>
      </c>
      <c r="AP60" s="18">
        <f>+VLOOKUP(D60,[2]Departamento!$A$1:$B$16,2,0)</f>
        <v>2</v>
      </c>
      <c r="AQ60">
        <f t="shared" si="25"/>
        <v>0</v>
      </c>
    </row>
    <row r="61" spans="1:43" x14ac:dyDescent="0.3">
      <c r="A61" t="s">
        <v>186</v>
      </c>
      <c r="B61" t="s">
        <v>187</v>
      </c>
      <c r="C61" t="s">
        <v>43</v>
      </c>
      <c r="D61" t="s">
        <v>130</v>
      </c>
      <c r="E61" s="10" t="s">
        <v>57</v>
      </c>
      <c r="F61" s="10" t="s">
        <v>58</v>
      </c>
      <c r="G61" s="11">
        <v>202</v>
      </c>
      <c r="H61" s="12">
        <v>177.54545454545456</v>
      </c>
      <c r="I61" s="12">
        <f t="shared" si="0"/>
        <v>202</v>
      </c>
      <c r="J61" s="13">
        <f t="shared" si="27"/>
        <v>242</v>
      </c>
      <c r="K61" s="14">
        <f t="shared" si="2"/>
        <v>219</v>
      </c>
      <c r="L61" s="15">
        <v>0</v>
      </c>
      <c r="M61" s="12">
        <v>2.8181818181818183</v>
      </c>
      <c r="N61" s="12">
        <f t="shared" si="3"/>
        <v>2.8181818181818183</v>
      </c>
      <c r="O61" s="13">
        <v>4</v>
      </c>
      <c r="P61" s="16">
        <f t="shared" si="28"/>
        <v>4</v>
      </c>
      <c r="Q61" s="15">
        <f t="shared" si="5"/>
        <v>64.454545454545439</v>
      </c>
      <c r="R61" s="12">
        <f t="shared" si="6"/>
        <v>41.454545454545439</v>
      </c>
      <c r="S61" s="12">
        <f t="shared" si="7"/>
        <v>1.1818181818181817</v>
      </c>
      <c r="T61" s="12">
        <f t="shared" si="8"/>
        <v>1.1818181818181817</v>
      </c>
      <c r="U61" s="17">
        <f t="shared" si="9"/>
        <v>0.36303123399897586</v>
      </c>
      <c r="V61" s="17">
        <f t="shared" si="10"/>
        <v>0.23348694316436247</v>
      </c>
      <c r="W61" s="17">
        <f t="shared" si="11"/>
        <v>0.41935483870967727</v>
      </c>
      <c r="X61" s="17">
        <f t="shared" si="12"/>
        <v>0.41935483870967727</v>
      </c>
      <c r="Y61" s="18">
        <f>+IFERROR(VLOOKUP(A61,[1]Hoja1!$A:$B,2,0),0)</f>
        <v>82</v>
      </c>
      <c r="Z61" s="18">
        <f>+IFERROR(VLOOKUP(A61,[1]Hoja1!$D:$E,2,0),0)</f>
        <v>6</v>
      </c>
      <c r="AA61" s="18">
        <f t="shared" si="14"/>
        <v>231</v>
      </c>
      <c r="AB61" s="18">
        <f t="shared" si="14"/>
        <v>17</v>
      </c>
      <c r="AC61">
        <f t="shared" si="15"/>
        <v>0</v>
      </c>
      <c r="AD61">
        <f t="shared" si="16"/>
        <v>1</v>
      </c>
      <c r="AE61">
        <f t="shared" si="17"/>
        <v>0</v>
      </c>
      <c r="AF61" s="17">
        <f t="shared" si="29"/>
        <v>1.2061068702290076</v>
      </c>
      <c r="AG61" s="17">
        <f t="shared" si="18"/>
        <v>0.95454545454545459</v>
      </c>
      <c r="AH61" s="18">
        <f t="shared" si="19"/>
        <v>440</v>
      </c>
      <c r="AI61" s="18">
        <f t="shared" si="19"/>
        <v>32</v>
      </c>
      <c r="AJ61">
        <f t="shared" si="20"/>
        <v>0</v>
      </c>
      <c r="AK61">
        <f t="shared" si="21"/>
        <v>1</v>
      </c>
      <c r="AL61">
        <f t="shared" si="22"/>
        <v>0</v>
      </c>
      <c r="AM61" s="17">
        <f t="shared" si="23"/>
        <v>1.1976047904191616</v>
      </c>
      <c r="AN61" s="17">
        <f t="shared" si="24"/>
        <v>0.95444685466377444</v>
      </c>
      <c r="AO61" s="18" t="str">
        <f>+IFERROR(VLOOKUP(A61,[2]Rank!$B:$E,4,0),"No Ganador")</f>
        <v>No Ganador</v>
      </c>
      <c r="AP61" s="18">
        <f>+VLOOKUP(D61,[2]Departamento!$A$1:$B$16,2,0)</f>
        <v>1</v>
      </c>
      <c r="AQ61">
        <f t="shared" si="25"/>
        <v>0</v>
      </c>
    </row>
    <row r="62" spans="1:43" x14ac:dyDescent="0.3">
      <c r="A62" t="s">
        <v>188</v>
      </c>
      <c r="B62" t="s">
        <v>189</v>
      </c>
      <c r="C62" t="s">
        <v>43</v>
      </c>
      <c r="D62" t="s">
        <v>44</v>
      </c>
      <c r="E62" s="10" t="s">
        <v>45</v>
      </c>
      <c r="F62" s="10" t="s">
        <v>63</v>
      </c>
      <c r="G62" s="11">
        <v>365</v>
      </c>
      <c r="H62" s="12">
        <v>359.31818181818187</v>
      </c>
      <c r="I62" s="12">
        <f t="shared" si="0"/>
        <v>365</v>
      </c>
      <c r="J62" s="13">
        <f t="shared" si="27"/>
        <v>438</v>
      </c>
      <c r="K62" s="14">
        <f t="shared" si="2"/>
        <v>396</v>
      </c>
      <c r="L62" s="15">
        <v>3</v>
      </c>
      <c r="M62" s="12">
        <v>0</v>
      </c>
      <c r="N62" s="12">
        <f t="shared" si="3"/>
        <v>3</v>
      </c>
      <c r="O62" s="13">
        <v>3</v>
      </c>
      <c r="P62" s="16">
        <v>3</v>
      </c>
      <c r="Q62" s="15">
        <f t="shared" si="5"/>
        <v>78.68181818181813</v>
      </c>
      <c r="R62" s="12">
        <f t="shared" si="6"/>
        <v>36.68181818181813</v>
      </c>
      <c r="S62" s="12">
        <f t="shared" si="7"/>
        <v>3</v>
      </c>
      <c r="T62" s="12">
        <f t="shared" si="8"/>
        <v>3</v>
      </c>
      <c r="U62" s="17">
        <f t="shared" si="9"/>
        <v>0.21897533206831099</v>
      </c>
      <c r="V62" s="17">
        <f t="shared" si="10"/>
        <v>0.10208728652751398</v>
      </c>
      <c r="W62" s="17" t="str">
        <f t="shared" si="11"/>
        <v>-</v>
      </c>
      <c r="X62" s="17">
        <f t="shared" si="12"/>
        <v>0</v>
      </c>
      <c r="Y62" s="18">
        <f>+IFERROR(VLOOKUP(A62,[1]Hoja1!$A:$B,2,0),0)</f>
        <v>134</v>
      </c>
      <c r="Z62" s="18">
        <f>+IFERROR(VLOOKUP(A62,[1]Hoja1!$D:$E,2,0),0)</f>
        <v>12</v>
      </c>
      <c r="AA62" s="18">
        <f t="shared" si="14"/>
        <v>378</v>
      </c>
      <c r="AB62" s="18">
        <f t="shared" si="14"/>
        <v>34</v>
      </c>
      <c r="AC62">
        <f t="shared" si="15"/>
        <v>0</v>
      </c>
      <c r="AD62">
        <f t="shared" si="16"/>
        <v>1</v>
      </c>
      <c r="AE62">
        <f t="shared" si="17"/>
        <v>0</v>
      </c>
      <c r="AF62" s="17">
        <f t="shared" si="29"/>
        <v>1.2097130242825607</v>
      </c>
      <c r="AG62" s="17">
        <f t="shared" si="18"/>
        <v>0.86301369863013699</v>
      </c>
      <c r="AH62" s="18">
        <f t="shared" si="19"/>
        <v>719</v>
      </c>
      <c r="AI62" s="18">
        <f t="shared" si="19"/>
        <v>64</v>
      </c>
      <c r="AJ62">
        <f t="shared" si="20"/>
        <v>0</v>
      </c>
      <c r="AK62">
        <f t="shared" si="21"/>
        <v>1</v>
      </c>
      <c r="AL62">
        <f t="shared" si="22"/>
        <v>0</v>
      </c>
      <c r="AM62" s="17">
        <f t="shared" si="23"/>
        <v>1.2025462962962963</v>
      </c>
      <c r="AN62" s="17">
        <f t="shared" si="24"/>
        <v>0.86211031175059949</v>
      </c>
      <c r="AO62" s="18" t="str">
        <f>+IFERROR(VLOOKUP(A62,[2]Rank!$B:$E,4,0),"No Ganador")</f>
        <v>No Ganador</v>
      </c>
      <c r="AP62" s="18">
        <f>+VLOOKUP(D62,[2]Departamento!$A$1:$B$16,2,0)</f>
        <v>6</v>
      </c>
      <c r="AQ62">
        <f t="shared" si="25"/>
        <v>0</v>
      </c>
    </row>
    <row r="63" spans="1:43" x14ac:dyDescent="0.3">
      <c r="A63" t="s">
        <v>190</v>
      </c>
      <c r="B63" t="s">
        <v>191</v>
      </c>
      <c r="C63" t="s">
        <v>43</v>
      </c>
      <c r="D63" t="s">
        <v>44</v>
      </c>
      <c r="E63" s="10" t="s">
        <v>45</v>
      </c>
      <c r="F63" s="10" t="s">
        <v>46</v>
      </c>
      <c r="G63" s="11">
        <v>107</v>
      </c>
      <c r="H63" s="12">
        <v>87.363636363636374</v>
      </c>
      <c r="I63" s="12">
        <f t="shared" si="0"/>
        <v>107</v>
      </c>
      <c r="J63" s="13">
        <f t="shared" si="27"/>
        <v>128</v>
      </c>
      <c r="K63" s="14">
        <f t="shared" si="2"/>
        <v>116</v>
      </c>
      <c r="L63" s="15">
        <v>6</v>
      </c>
      <c r="M63" s="12">
        <v>0</v>
      </c>
      <c r="N63" s="12">
        <f t="shared" si="3"/>
        <v>6</v>
      </c>
      <c r="O63" s="13">
        <v>7</v>
      </c>
      <c r="P63" s="16">
        <f t="shared" si="28"/>
        <v>6</v>
      </c>
      <c r="Q63" s="15">
        <f t="shared" si="5"/>
        <v>40.636363636363626</v>
      </c>
      <c r="R63" s="12">
        <f t="shared" si="6"/>
        <v>28.636363636363626</v>
      </c>
      <c r="S63" s="12">
        <f t="shared" si="7"/>
        <v>7</v>
      </c>
      <c r="T63" s="12">
        <f t="shared" si="8"/>
        <v>6</v>
      </c>
      <c r="U63" s="17">
        <f t="shared" si="9"/>
        <v>0.46514047866805397</v>
      </c>
      <c r="V63" s="17">
        <f t="shared" si="10"/>
        <v>0.32778355879292387</v>
      </c>
      <c r="W63" s="17" t="str">
        <f t="shared" si="11"/>
        <v>-</v>
      </c>
      <c r="X63" s="17">
        <f t="shared" si="12"/>
        <v>0</v>
      </c>
      <c r="Y63" s="18">
        <f>+IFERROR(VLOOKUP(A63,[1]Hoja1!$A:$B,2,0),0)</f>
        <v>23</v>
      </c>
      <c r="Z63" s="18">
        <f>+IFERROR(VLOOKUP(A63,[1]Hoja1!$D:$E,2,0),0)</f>
        <v>0</v>
      </c>
      <c r="AA63" s="18">
        <f t="shared" si="14"/>
        <v>65</v>
      </c>
      <c r="AB63" s="18">
        <f t="shared" si="14"/>
        <v>0</v>
      </c>
      <c r="AC63">
        <f t="shared" si="15"/>
        <v>0</v>
      </c>
      <c r="AD63">
        <f t="shared" si="16"/>
        <v>0</v>
      </c>
      <c r="AE63">
        <f t="shared" si="17"/>
        <v>0</v>
      </c>
      <c r="AF63" s="17">
        <f t="shared" si="29"/>
        <v>0.3987730061349693</v>
      </c>
      <c r="AG63" s="17">
        <f t="shared" si="18"/>
        <v>0.5078125</v>
      </c>
      <c r="AH63" s="18">
        <f t="shared" si="19"/>
        <v>123</v>
      </c>
      <c r="AI63" s="18">
        <f t="shared" si="19"/>
        <v>0</v>
      </c>
      <c r="AJ63">
        <f t="shared" si="20"/>
        <v>0</v>
      </c>
      <c r="AK63">
        <f t="shared" si="21"/>
        <v>0</v>
      </c>
      <c r="AL63">
        <f t="shared" si="22"/>
        <v>0</v>
      </c>
      <c r="AM63" s="17">
        <f t="shared" si="23"/>
        <v>0.39805825242718446</v>
      </c>
      <c r="AN63" s="17">
        <f t="shared" si="24"/>
        <v>0.50409836065573765</v>
      </c>
      <c r="AO63" s="18" t="str">
        <f>+IFERROR(VLOOKUP(A63,[2]Rank!$B:$E,4,0),"No Ganador")</f>
        <v>No Ganador</v>
      </c>
      <c r="AP63" s="18">
        <f>+VLOOKUP(D63,[2]Departamento!$A$1:$B$16,2,0)</f>
        <v>6</v>
      </c>
      <c r="AQ63">
        <f t="shared" si="25"/>
        <v>0</v>
      </c>
    </row>
    <row r="64" spans="1:43" x14ac:dyDescent="0.3">
      <c r="A64" t="s">
        <v>192</v>
      </c>
      <c r="B64" t="s">
        <v>193</v>
      </c>
      <c r="C64" t="s">
        <v>43</v>
      </c>
      <c r="D64" t="s">
        <v>44</v>
      </c>
      <c r="E64" s="10" t="s">
        <v>45</v>
      </c>
      <c r="F64" s="10" t="s">
        <v>63</v>
      </c>
      <c r="G64" s="11">
        <v>90</v>
      </c>
      <c r="H64" s="12">
        <v>70.454545454545467</v>
      </c>
      <c r="I64" s="12">
        <f t="shared" si="0"/>
        <v>90</v>
      </c>
      <c r="J64" s="13">
        <f t="shared" si="27"/>
        <v>108</v>
      </c>
      <c r="K64" s="14">
        <f t="shared" si="2"/>
        <v>98</v>
      </c>
      <c r="L64" s="15">
        <v>0</v>
      </c>
      <c r="M64" s="12">
        <v>1.4090909090909092</v>
      </c>
      <c r="N64" s="12">
        <f t="shared" si="3"/>
        <v>1.4090909090909092</v>
      </c>
      <c r="O64" s="13">
        <v>2</v>
      </c>
      <c r="P64" s="16">
        <f t="shared" si="28"/>
        <v>2</v>
      </c>
      <c r="Q64" s="15">
        <f t="shared" si="5"/>
        <v>37.545454545454533</v>
      </c>
      <c r="R64" s="12">
        <f t="shared" si="6"/>
        <v>27.545454545454533</v>
      </c>
      <c r="S64" s="12">
        <f t="shared" si="7"/>
        <v>0.59090909090909083</v>
      </c>
      <c r="T64" s="12">
        <f t="shared" si="8"/>
        <v>0.59090909090909083</v>
      </c>
      <c r="U64" s="17">
        <f t="shared" si="9"/>
        <v>0.53290322580645144</v>
      </c>
      <c r="V64" s="17">
        <f t="shared" si="10"/>
        <v>0.39096774193548356</v>
      </c>
      <c r="W64" s="17">
        <f t="shared" si="11"/>
        <v>0.41935483870967727</v>
      </c>
      <c r="X64" s="17">
        <f t="shared" si="12"/>
        <v>0.41935483870967727</v>
      </c>
      <c r="Y64" s="18">
        <f>+IFERROR(VLOOKUP(A64,[1]Hoja1!$A:$B,2,0),0)</f>
        <v>38</v>
      </c>
      <c r="Z64" s="18">
        <f>+IFERROR(VLOOKUP(A64,[1]Hoja1!$D:$E,2,0),0)</f>
        <v>1</v>
      </c>
      <c r="AA64" s="18">
        <f t="shared" si="14"/>
        <v>107</v>
      </c>
      <c r="AB64" s="18">
        <f t="shared" si="14"/>
        <v>3</v>
      </c>
      <c r="AC64">
        <f t="shared" si="15"/>
        <v>0</v>
      </c>
      <c r="AD64">
        <f t="shared" si="16"/>
        <v>1</v>
      </c>
      <c r="AE64">
        <f t="shared" si="17"/>
        <v>0</v>
      </c>
      <c r="AF64" s="17">
        <f t="shared" si="29"/>
        <v>1.0338983050847457</v>
      </c>
      <c r="AG64" s="17">
        <f t="shared" si="18"/>
        <v>0.9907407407407407</v>
      </c>
      <c r="AH64" s="18">
        <f t="shared" si="19"/>
        <v>204</v>
      </c>
      <c r="AI64" s="18">
        <f t="shared" si="19"/>
        <v>5</v>
      </c>
      <c r="AJ64">
        <f t="shared" si="20"/>
        <v>0</v>
      </c>
      <c r="AK64">
        <f t="shared" si="21"/>
        <v>1</v>
      </c>
      <c r="AL64">
        <f t="shared" si="22"/>
        <v>0</v>
      </c>
      <c r="AM64" s="17">
        <f t="shared" si="23"/>
        <v>1.0132743362831858</v>
      </c>
      <c r="AN64" s="17">
        <f t="shared" si="24"/>
        <v>0.99029126213592233</v>
      </c>
      <c r="AO64" s="18" t="str">
        <f>+IFERROR(VLOOKUP(A64,[2]Rank!$B:$E,4,0),"No Ganador")</f>
        <v>No Ganador</v>
      </c>
      <c r="AP64" s="18">
        <f>+VLOOKUP(D64,[2]Departamento!$A$1:$B$16,2,0)</f>
        <v>6</v>
      </c>
      <c r="AQ64">
        <f t="shared" si="25"/>
        <v>0</v>
      </c>
    </row>
    <row r="65" spans="1:43" x14ac:dyDescent="0.3">
      <c r="A65" t="s">
        <v>194</v>
      </c>
      <c r="B65" t="s">
        <v>195</v>
      </c>
      <c r="C65" t="s">
        <v>43</v>
      </c>
      <c r="D65" t="s">
        <v>44</v>
      </c>
      <c r="E65" s="10" t="s">
        <v>45</v>
      </c>
      <c r="F65" s="10" t="s">
        <v>46</v>
      </c>
      <c r="G65" s="11">
        <v>89</v>
      </c>
      <c r="H65" s="12">
        <v>70.454545454545467</v>
      </c>
      <c r="I65" s="12">
        <f t="shared" si="0"/>
        <v>89</v>
      </c>
      <c r="J65" s="13">
        <f t="shared" si="27"/>
        <v>107</v>
      </c>
      <c r="K65" s="14">
        <f t="shared" si="2"/>
        <v>97</v>
      </c>
      <c r="L65" s="15">
        <v>5</v>
      </c>
      <c r="M65" s="12">
        <v>8.4545454545454533</v>
      </c>
      <c r="N65" s="12">
        <f t="shared" si="3"/>
        <v>8.4545454545454533</v>
      </c>
      <c r="O65" s="13">
        <v>10</v>
      </c>
      <c r="P65" s="16">
        <f t="shared" si="28"/>
        <v>9</v>
      </c>
      <c r="Q65" s="15">
        <f t="shared" si="5"/>
        <v>36.545454545454533</v>
      </c>
      <c r="R65" s="12">
        <f t="shared" si="6"/>
        <v>26.545454545454533</v>
      </c>
      <c r="S65" s="12">
        <f t="shared" si="7"/>
        <v>1.5454545454545467</v>
      </c>
      <c r="T65" s="12">
        <f t="shared" si="8"/>
        <v>0.54545454545454675</v>
      </c>
      <c r="U65" s="17">
        <f t="shared" si="9"/>
        <v>0.51870967741935448</v>
      </c>
      <c r="V65" s="17">
        <f t="shared" si="10"/>
        <v>0.37677419354838682</v>
      </c>
      <c r="W65" s="17">
        <f t="shared" si="11"/>
        <v>0.18279569892473146</v>
      </c>
      <c r="X65" s="17">
        <f t="shared" si="12"/>
        <v>6.4516129032258229E-2</v>
      </c>
      <c r="Y65" s="18">
        <f>+IFERROR(VLOOKUP(A65,[1]Hoja1!$A:$B,2,0),0)</f>
        <v>31</v>
      </c>
      <c r="Z65" s="18">
        <f>+IFERROR(VLOOKUP(A65,[1]Hoja1!$D:$E,2,0),0)</f>
        <v>6</v>
      </c>
      <c r="AA65" s="18">
        <f t="shared" si="14"/>
        <v>87</v>
      </c>
      <c r="AB65" s="18">
        <f t="shared" si="14"/>
        <v>17</v>
      </c>
      <c r="AC65">
        <f t="shared" si="15"/>
        <v>0</v>
      </c>
      <c r="AD65">
        <f t="shared" si="16"/>
        <v>1</v>
      </c>
      <c r="AE65">
        <f t="shared" si="17"/>
        <v>0</v>
      </c>
      <c r="AF65" s="17">
        <f t="shared" si="29"/>
        <v>1.0955414012738853</v>
      </c>
      <c r="AG65" s="17">
        <f t="shared" si="18"/>
        <v>0.81308411214953269</v>
      </c>
      <c r="AH65" s="18">
        <f t="shared" si="19"/>
        <v>166</v>
      </c>
      <c r="AI65" s="18">
        <f t="shared" si="19"/>
        <v>32</v>
      </c>
      <c r="AJ65">
        <f t="shared" si="20"/>
        <v>0</v>
      </c>
      <c r="AK65">
        <f t="shared" si="21"/>
        <v>1</v>
      </c>
      <c r="AL65">
        <f t="shared" si="22"/>
        <v>0</v>
      </c>
      <c r="AM65" s="17">
        <f t="shared" si="23"/>
        <v>1.0903010033444815</v>
      </c>
      <c r="AN65" s="17">
        <f t="shared" si="24"/>
        <v>0.81372549019607843</v>
      </c>
      <c r="AO65" s="18" t="str">
        <f>+IFERROR(VLOOKUP(A65,[2]Rank!$B:$E,4,0),"No Ganador")</f>
        <v>No Ganador</v>
      </c>
      <c r="AP65" s="18">
        <f>+VLOOKUP(D65,[2]Departamento!$A$1:$B$16,2,0)</f>
        <v>6</v>
      </c>
      <c r="AQ65">
        <f t="shared" si="25"/>
        <v>0</v>
      </c>
    </row>
    <row r="66" spans="1:43" x14ac:dyDescent="0.3">
      <c r="A66" t="s">
        <v>196</v>
      </c>
      <c r="B66" t="s">
        <v>197</v>
      </c>
      <c r="C66" t="s">
        <v>43</v>
      </c>
      <c r="D66" t="s">
        <v>90</v>
      </c>
      <c r="E66" s="10" t="s">
        <v>69</v>
      </c>
      <c r="F66" s="10" t="s">
        <v>75</v>
      </c>
      <c r="G66" s="11">
        <v>62</v>
      </c>
      <c r="H66" s="12">
        <v>45.090909090909093</v>
      </c>
      <c r="I66" s="12">
        <f t="shared" ref="I66:I129" si="30">MAX(H66,G66)</f>
        <v>62</v>
      </c>
      <c r="J66" s="13">
        <f t="shared" si="27"/>
        <v>74</v>
      </c>
      <c r="K66" s="14">
        <f t="shared" ref="K66:K129" si="31">ROUND(J66/31*28,0)</f>
        <v>67</v>
      </c>
      <c r="L66" s="15">
        <v>0</v>
      </c>
      <c r="M66" s="12">
        <v>0</v>
      </c>
      <c r="N66" s="12">
        <f t="shared" ref="N66:N129" si="32">MAX(M66,L66)</f>
        <v>0</v>
      </c>
      <c r="O66" s="13">
        <v>1</v>
      </c>
      <c r="P66" s="16">
        <f t="shared" si="28"/>
        <v>1</v>
      </c>
      <c r="Q66" s="15">
        <f t="shared" ref="Q66:Q129" si="33">J66-H66</f>
        <v>28.909090909090907</v>
      </c>
      <c r="R66" s="12">
        <f t="shared" ref="R66:R129" si="34">K66-H66</f>
        <v>21.909090909090907</v>
      </c>
      <c r="S66" s="12">
        <f t="shared" ref="S66:S129" si="35">O66-M66</f>
        <v>1</v>
      </c>
      <c r="T66" s="12">
        <f t="shared" ref="T66:T129" si="36">P66-M66</f>
        <v>1</v>
      </c>
      <c r="U66" s="17">
        <f t="shared" ref="U66:U129" si="37">(J66/H66)-1</f>
        <v>0.6411290322580645</v>
      </c>
      <c r="V66" s="17">
        <f t="shared" ref="V66:V129" si="38">(K66/H66)-1</f>
        <v>0.48588709677419351</v>
      </c>
      <c r="W66" s="17" t="str">
        <f t="shared" ref="W66:W129" si="39">IFERROR((O66/M66)-1,"-")</f>
        <v>-</v>
      </c>
      <c r="X66" s="17">
        <f t="shared" ref="X66:X129" si="40">IFERROR((P66/M66)-1,0)</f>
        <v>0</v>
      </c>
      <c r="Y66" s="18">
        <f>+IFERROR(VLOOKUP(A66,[1]Hoja1!$A:$B,2,0),0)</f>
        <v>8</v>
      </c>
      <c r="Z66" s="18">
        <f>+IFERROR(VLOOKUP(A66,[1]Hoja1!$D:$E,2,0),0)</f>
        <v>0</v>
      </c>
      <c r="AA66" s="18">
        <f t="shared" si="14"/>
        <v>23</v>
      </c>
      <c r="AB66" s="18">
        <f t="shared" si="14"/>
        <v>0</v>
      </c>
      <c r="AC66">
        <f t="shared" si="15"/>
        <v>0</v>
      </c>
      <c r="AD66">
        <f t="shared" si="16"/>
        <v>0</v>
      </c>
      <c r="AE66">
        <f t="shared" si="17"/>
        <v>0</v>
      </c>
      <c r="AF66" s="17">
        <f t="shared" si="29"/>
        <v>0.29113924050632911</v>
      </c>
      <c r="AG66" s="17">
        <f t="shared" si="18"/>
        <v>0.3108108108108108</v>
      </c>
      <c r="AH66" s="18">
        <f t="shared" si="19"/>
        <v>43</v>
      </c>
      <c r="AI66" s="18">
        <f t="shared" si="19"/>
        <v>0</v>
      </c>
      <c r="AJ66">
        <f t="shared" si="20"/>
        <v>0</v>
      </c>
      <c r="AK66">
        <f t="shared" si="21"/>
        <v>0</v>
      </c>
      <c r="AL66">
        <f t="shared" si="22"/>
        <v>0</v>
      </c>
      <c r="AM66" s="17">
        <f t="shared" si="23"/>
        <v>0.28476821192052981</v>
      </c>
      <c r="AN66" s="17">
        <f t="shared" si="24"/>
        <v>0.30496453900709219</v>
      </c>
      <c r="AO66" s="18" t="str">
        <f>+IFERROR(VLOOKUP(A66,[2]Rank!$B:$E,4,0),"No Ganador")</f>
        <v>No Ganador</v>
      </c>
      <c r="AP66" s="18">
        <f>+VLOOKUP(D66,[2]Departamento!$A$1:$B$16,2,0)</f>
        <v>2</v>
      </c>
      <c r="AQ66">
        <f t="shared" si="25"/>
        <v>0</v>
      </c>
    </row>
    <row r="67" spans="1:43" x14ac:dyDescent="0.3">
      <c r="A67" t="s">
        <v>198</v>
      </c>
      <c r="B67" t="s">
        <v>199</v>
      </c>
      <c r="C67" t="s">
        <v>43</v>
      </c>
      <c r="D67" t="s">
        <v>44</v>
      </c>
      <c r="E67" s="10" t="s">
        <v>45</v>
      </c>
      <c r="F67" s="10" t="s">
        <v>46</v>
      </c>
      <c r="G67" s="11">
        <v>92</v>
      </c>
      <c r="H67" s="12">
        <v>77.5</v>
      </c>
      <c r="I67" s="12">
        <f t="shared" si="30"/>
        <v>92</v>
      </c>
      <c r="J67" s="13">
        <f t="shared" si="27"/>
        <v>110</v>
      </c>
      <c r="K67" s="14">
        <f t="shared" si="31"/>
        <v>99</v>
      </c>
      <c r="L67" s="15">
        <v>4</v>
      </c>
      <c r="M67" s="12">
        <v>1.4090909090909092</v>
      </c>
      <c r="N67" s="12">
        <f t="shared" si="32"/>
        <v>4</v>
      </c>
      <c r="O67" s="13">
        <v>5</v>
      </c>
      <c r="P67" s="16">
        <v>4</v>
      </c>
      <c r="Q67" s="15">
        <f t="shared" si="33"/>
        <v>32.5</v>
      </c>
      <c r="R67" s="12">
        <f t="shared" si="34"/>
        <v>21.5</v>
      </c>
      <c r="S67" s="12">
        <f t="shared" si="35"/>
        <v>3.5909090909090908</v>
      </c>
      <c r="T67" s="12">
        <f t="shared" si="36"/>
        <v>2.5909090909090908</v>
      </c>
      <c r="U67" s="17">
        <f t="shared" si="37"/>
        <v>0.41935483870967749</v>
      </c>
      <c r="V67" s="17">
        <f t="shared" si="38"/>
        <v>0.27741935483870961</v>
      </c>
      <c r="W67" s="17">
        <f t="shared" si="39"/>
        <v>2.5483870967741935</v>
      </c>
      <c r="X67" s="17">
        <f t="shared" si="40"/>
        <v>1.8387096774193545</v>
      </c>
      <c r="Y67" s="18">
        <f>+IFERROR(VLOOKUP(A67,[1]Hoja1!$A:$B,2,0),0)</f>
        <v>32</v>
      </c>
      <c r="Z67" s="18">
        <f>+IFERROR(VLOOKUP(A67,[1]Hoja1!$D:$E,2,0),0)</f>
        <v>0</v>
      </c>
      <c r="AA67" s="18">
        <f t="shared" ref="AA67:AB130" si="41">+ROUND((Y67*31)/11,0)</f>
        <v>90</v>
      </c>
      <c r="AB67" s="18">
        <f t="shared" si="41"/>
        <v>0</v>
      </c>
      <c r="AC67">
        <f t="shared" ref="AC67:AC130" si="42">+IF(AA67&gt;=J67,1,0)</f>
        <v>0</v>
      </c>
      <c r="AD67">
        <f t="shared" ref="AD67:AD130" si="43">+IF(AB67&gt;=O67,1,0)</f>
        <v>0</v>
      </c>
      <c r="AE67">
        <f t="shared" ref="AE67:AE130" si="44">+IF(AC67+AD67=2,1,0)</f>
        <v>0</v>
      </c>
      <c r="AF67" s="17">
        <f t="shared" si="29"/>
        <v>0.66666666666666663</v>
      </c>
      <c r="AG67" s="17">
        <f t="shared" ref="AG67:AG130" si="45">+AA67/J67</f>
        <v>0.81818181818181823</v>
      </c>
      <c r="AH67" s="18">
        <f t="shared" ref="AH67:AI130" si="46">+ROUND((Y67*59)/11,0)</f>
        <v>172</v>
      </c>
      <c r="AI67" s="18">
        <f t="shared" si="46"/>
        <v>0</v>
      </c>
      <c r="AJ67">
        <f t="shared" ref="AJ67:AJ130" si="47">+IF(AH67&gt;=(J67+K67),1,0)</f>
        <v>0</v>
      </c>
      <c r="AK67">
        <f t="shared" ref="AK67:AK130" si="48">+IF(AI67&gt;=(O67+P67),1,0)</f>
        <v>0</v>
      </c>
      <c r="AL67">
        <f t="shared" ref="AL67:AL130" si="49">+IF(AJ67+AK67=2,1,0)</f>
        <v>0</v>
      </c>
      <c r="AM67" s="17">
        <f t="shared" ref="AM67:AM130" si="50">+(AH67+(5*AI67))/((J67+K67)+(5*(O67+P67)))</f>
        <v>0.67716535433070868</v>
      </c>
      <c r="AN67" s="17">
        <f t="shared" ref="AN67:AN130" si="51">+AH67/(J67+K67)</f>
        <v>0.82296650717703346</v>
      </c>
      <c r="AO67" s="18" t="str">
        <f>+IFERROR(VLOOKUP(A67,[2]Rank!$B:$E,4,0),"No Ganador")</f>
        <v>No Ganador</v>
      </c>
      <c r="AP67" s="18">
        <f>+VLOOKUP(D67,[2]Departamento!$A$1:$B$16,2,0)</f>
        <v>6</v>
      </c>
      <c r="AQ67">
        <f t="shared" ref="AQ67:AQ130" si="52">+IFERROR(IF(AO67&gt;AP67,0,1),0)</f>
        <v>0</v>
      </c>
    </row>
    <row r="68" spans="1:43" x14ac:dyDescent="0.3">
      <c r="A68" t="s">
        <v>200</v>
      </c>
      <c r="B68" t="s">
        <v>201</v>
      </c>
      <c r="C68" t="s">
        <v>43</v>
      </c>
      <c r="D68" t="s">
        <v>44</v>
      </c>
      <c r="E68" s="10" t="s">
        <v>45</v>
      </c>
      <c r="F68" s="10" t="s">
        <v>63</v>
      </c>
      <c r="G68" s="11">
        <v>98</v>
      </c>
      <c r="H68" s="12">
        <v>81.72727272727272</v>
      </c>
      <c r="I68" s="12">
        <f t="shared" si="30"/>
        <v>98</v>
      </c>
      <c r="J68" s="13">
        <f t="shared" si="27"/>
        <v>118</v>
      </c>
      <c r="K68" s="14">
        <f t="shared" si="31"/>
        <v>107</v>
      </c>
      <c r="L68" s="15">
        <v>1</v>
      </c>
      <c r="M68" s="12">
        <v>5.6363636363636367</v>
      </c>
      <c r="N68" s="12">
        <f t="shared" si="32"/>
        <v>5.6363636363636367</v>
      </c>
      <c r="O68" s="13">
        <v>7</v>
      </c>
      <c r="P68" s="16">
        <f t="shared" si="28"/>
        <v>6</v>
      </c>
      <c r="Q68" s="15">
        <f t="shared" si="33"/>
        <v>36.27272727272728</v>
      </c>
      <c r="R68" s="12">
        <f t="shared" si="34"/>
        <v>25.27272727272728</v>
      </c>
      <c r="S68" s="12">
        <f t="shared" si="35"/>
        <v>1.3636363636363633</v>
      </c>
      <c r="T68" s="12">
        <f t="shared" si="36"/>
        <v>0.36363636363636331</v>
      </c>
      <c r="U68" s="17">
        <f t="shared" si="37"/>
        <v>0.44382647385984431</v>
      </c>
      <c r="V68" s="17">
        <f t="shared" si="38"/>
        <v>0.3092324805339266</v>
      </c>
      <c r="W68" s="17">
        <f t="shared" si="39"/>
        <v>0.24193548387096775</v>
      </c>
      <c r="X68" s="17">
        <f t="shared" si="40"/>
        <v>6.4516129032258007E-2</v>
      </c>
      <c r="Y68" s="18">
        <f>+IFERROR(VLOOKUP(A68,[1]Hoja1!$A:$B,2,0),0)</f>
        <v>51</v>
      </c>
      <c r="Z68" s="18">
        <f>+IFERROR(VLOOKUP(A68,[1]Hoja1!$D:$E,2,0),0)</f>
        <v>2</v>
      </c>
      <c r="AA68" s="18">
        <f t="shared" si="41"/>
        <v>144</v>
      </c>
      <c r="AB68" s="18">
        <f t="shared" si="41"/>
        <v>6</v>
      </c>
      <c r="AC68">
        <f t="shared" si="42"/>
        <v>1</v>
      </c>
      <c r="AD68">
        <f t="shared" si="43"/>
        <v>0</v>
      </c>
      <c r="AE68">
        <f t="shared" si="44"/>
        <v>0</v>
      </c>
      <c r="AF68" s="17">
        <f t="shared" si="29"/>
        <v>1.1372549019607843</v>
      </c>
      <c r="AG68" s="17">
        <f t="shared" si="45"/>
        <v>1.2203389830508475</v>
      </c>
      <c r="AH68" s="18">
        <f t="shared" si="46"/>
        <v>274</v>
      </c>
      <c r="AI68" s="18">
        <f t="shared" si="46"/>
        <v>11</v>
      </c>
      <c r="AJ68">
        <f t="shared" si="47"/>
        <v>1</v>
      </c>
      <c r="AK68">
        <f t="shared" si="48"/>
        <v>0</v>
      </c>
      <c r="AL68">
        <f t="shared" si="49"/>
        <v>0</v>
      </c>
      <c r="AM68" s="17">
        <f t="shared" si="50"/>
        <v>1.1344827586206896</v>
      </c>
      <c r="AN68" s="17">
        <f t="shared" si="51"/>
        <v>1.2177777777777778</v>
      </c>
      <c r="AO68" s="18" t="str">
        <f>+IFERROR(VLOOKUP(A68,[2]Rank!$B:$E,4,0),"No Ganador")</f>
        <v>No Ganador</v>
      </c>
      <c r="AP68" s="18">
        <f>+VLOOKUP(D68,[2]Departamento!$A$1:$B$16,2,0)</f>
        <v>6</v>
      </c>
      <c r="AQ68">
        <f t="shared" si="52"/>
        <v>0</v>
      </c>
    </row>
    <row r="69" spans="1:43" x14ac:dyDescent="0.3">
      <c r="A69" t="s">
        <v>202</v>
      </c>
      <c r="B69" t="s">
        <v>203</v>
      </c>
      <c r="C69" t="s">
        <v>43</v>
      </c>
      <c r="D69" t="s">
        <v>113</v>
      </c>
      <c r="E69" s="10" t="s">
        <v>69</v>
      </c>
      <c r="F69" s="10" t="s">
        <v>114</v>
      </c>
      <c r="G69" s="11">
        <v>47</v>
      </c>
      <c r="H69" s="12">
        <v>32.409090909090907</v>
      </c>
      <c r="I69" s="12">
        <f t="shared" si="30"/>
        <v>47</v>
      </c>
      <c r="J69" s="13">
        <f t="shared" si="27"/>
        <v>56</v>
      </c>
      <c r="K69" s="14">
        <f t="shared" si="31"/>
        <v>51</v>
      </c>
      <c r="L69" s="15">
        <v>1</v>
      </c>
      <c r="M69" s="12">
        <v>0</v>
      </c>
      <c r="N69" s="12">
        <f t="shared" si="32"/>
        <v>1</v>
      </c>
      <c r="O69" s="13">
        <v>2</v>
      </c>
      <c r="P69" s="16">
        <f t="shared" si="28"/>
        <v>2</v>
      </c>
      <c r="Q69" s="15">
        <f t="shared" si="33"/>
        <v>23.590909090909093</v>
      </c>
      <c r="R69" s="12">
        <f t="shared" si="34"/>
        <v>18.590909090909093</v>
      </c>
      <c r="S69" s="12">
        <f t="shared" si="35"/>
        <v>2</v>
      </c>
      <c r="T69" s="12">
        <f t="shared" si="36"/>
        <v>2</v>
      </c>
      <c r="U69" s="17">
        <f t="shared" si="37"/>
        <v>0.72791023842917268</v>
      </c>
      <c r="V69" s="17">
        <f t="shared" si="38"/>
        <v>0.5736325385694252</v>
      </c>
      <c r="W69" s="17" t="str">
        <f t="shared" si="39"/>
        <v>-</v>
      </c>
      <c r="X69" s="17">
        <f t="shared" si="40"/>
        <v>0</v>
      </c>
      <c r="Y69" s="18">
        <f>+IFERROR(VLOOKUP(A69,[1]Hoja1!$A:$B,2,0),0)</f>
        <v>3</v>
      </c>
      <c r="Z69" s="18">
        <f>+IFERROR(VLOOKUP(A69,[1]Hoja1!$D:$E,2,0),0)</f>
        <v>0</v>
      </c>
      <c r="AA69" s="18">
        <f t="shared" si="41"/>
        <v>8</v>
      </c>
      <c r="AB69" s="18">
        <f t="shared" si="41"/>
        <v>0</v>
      </c>
      <c r="AC69">
        <f t="shared" si="42"/>
        <v>0</v>
      </c>
      <c r="AD69">
        <f t="shared" si="43"/>
        <v>0</v>
      </c>
      <c r="AE69">
        <f t="shared" si="44"/>
        <v>0</v>
      </c>
      <c r="AF69" s="17">
        <f t="shared" si="29"/>
        <v>0.12121212121212122</v>
      </c>
      <c r="AG69" s="17">
        <f t="shared" si="45"/>
        <v>0.14285714285714285</v>
      </c>
      <c r="AH69" s="18">
        <f t="shared" si="46"/>
        <v>16</v>
      </c>
      <c r="AI69" s="18">
        <f t="shared" si="46"/>
        <v>0</v>
      </c>
      <c r="AJ69">
        <f t="shared" si="47"/>
        <v>0</v>
      </c>
      <c r="AK69">
        <f t="shared" si="48"/>
        <v>0</v>
      </c>
      <c r="AL69">
        <f t="shared" si="49"/>
        <v>0</v>
      </c>
      <c r="AM69" s="17">
        <f t="shared" si="50"/>
        <v>0.12598425196850394</v>
      </c>
      <c r="AN69" s="17">
        <f t="shared" si="51"/>
        <v>0.14953271028037382</v>
      </c>
      <c r="AO69" s="18" t="str">
        <f>+IFERROR(VLOOKUP(A69,[2]Rank!$B:$E,4,0),"No Ganador")</f>
        <v>No Ganador</v>
      </c>
      <c r="AP69" s="18">
        <f>+VLOOKUP(D69,[2]Departamento!$A$1:$B$16,2,0)</f>
        <v>1</v>
      </c>
      <c r="AQ69">
        <f t="shared" si="52"/>
        <v>0</v>
      </c>
    </row>
    <row r="70" spans="1:43" x14ac:dyDescent="0.3">
      <c r="A70" t="s">
        <v>204</v>
      </c>
      <c r="B70" t="s">
        <v>205</v>
      </c>
      <c r="C70" t="s">
        <v>43</v>
      </c>
      <c r="D70" t="s">
        <v>44</v>
      </c>
      <c r="E70" s="10" t="s">
        <v>45</v>
      </c>
      <c r="F70" s="10" t="s">
        <v>63</v>
      </c>
      <c r="G70" s="11">
        <v>103</v>
      </c>
      <c r="H70" s="12">
        <v>90.181818181818187</v>
      </c>
      <c r="I70" s="12">
        <f t="shared" si="30"/>
        <v>103</v>
      </c>
      <c r="J70" s="13">
        <f t="shared" si="27"/>
        <v>124</v>
      </c>
      <c r="K70" s="14">
        <f t="shared" si="31"/>
        <v>112</v>
      </c>
      <c r="L70" s="15">
        <v>6</v>
      </c>
      <c r="M70" s="12">
        <v>8.4545454545454533</v>
      </c>
      <c r="N70" s="12">
        <f t="shared" si="32"/>
        <v>8.4545454545454533</v>
      </c>
      <c r="O70" s="13">
        <v>10</v>
      </c>
      <c r="P70" s="16">
        <f t="shared" si="28"/>
        <v>9</v>
      </c>
      <c r="Q70" s="15">
        <f t="shared" si="33"/>
        <v>33.818181818181813</v>
      </c>
      <c r="R70" s="12">
        <f t="shared" si="34"/>
        <v>21.818181818181813</v>
      </c>
      <c r="S70" s="12">
        <f t="shared" si="35"/>
        <v>1.5454545454545467</v>
      </c>
      <c r="T70" s="12">
        <f t="shared" si="36"/>
        <v>0.54545454545454675</v>
      </c>
      <c r="U70" s="17">
        <f t="shared" si="37"/>
        <v>0.375</v>
      </c>
      <c r="V70" s="17">
        <f t="shared" si="38"/>
        <v>0.24193548387096775</v>
      </c>
      <c r="W70" s="17">
        <f t="shared" si="39"/>
        <v>0.18279569892473146</v>
      </c>
      <c r="X70" s="17">
        <f t="shared" si="40"/>
        <v>6.4516129032258229E-2</v>
      </c>
      <c r="Y70" s="18">
        <f>+IFERROR(VLOOKUP(A70,[1]Hoja1!$A:$B,2,0),0)</f>
        <v>47</v>
      </c>
      <c r="Z70" s="18">
        <f>+IFERROR(VLOOKUP(A70,[1]Hoja1!$D:$E,2,0),0)</f>
        <v>5</v>
      </c>
      <c r="AA70" s="18">
        <f t="shared" si="41"/>
        <v>132</v>
      </c>
      <c r="AB70" s="18">
        <f t="shared" si="41"/>
        <v>14</v>
      </c>
      <c r="AC70">
        <f t="shared" si="42"/>
        <v>1</v>
      </c>
      <c r="AD70">
        <f t="shared" si="43"/>
        <v>1</v>
      </c>
      <c r="AE70">
        <f t="shared" si="44"/>
        <v>1</v>
      </c>
      <c r="AF70" s="17">
        <f t="shared" si="29"/>
        <v>1.1609195402298851</v>
      </c>
      <c r="AG70" s="17">
        <f t="shared" si="45"/>
        <v>1.064516129032258</v>
      </c>
      <c r="AH70" s="18">
        <f t="shared" si="46"/>
        <v>252</v>
      </c>
      <c r="AI70" s="18">
        <f t="shared" si="46"/>
        <v>27</v>
      </c>
      <c r="AJ70">
        <f t="shared" si="47"/>
        <v>1</v>
      </c>
      <c r="AK70">
        <f t="shared" si="48"/>
        <v>1</v>
      </c>
      <c r="AL70">
        <f t="shared" si="49"/>
        <v>1</v>
      </c>
      <c r="AM70" s="17">
        <f t="shared" si="50"/>
        <v>1.1691842900302114</v>
      </c>
      <c r="AN70" s="17">
        <f t="shared" si="51"/>
        <v>1.0677966101694916</v>
      </c>
      <c r="AO70" s="18">
        <f>+IFERROR(VLOOKUP(A70,[2]Rank!$B:$E,4,0),"No Ganador")</f>
        <v>14</v>
      </c>
      <c r="AP70" s="18">
        <f>+VLOOKUP(D70,[2]Departamento!$A$1:$B$16,2,0)</f>
        <v>6</v>
      </c>
      <c r="AQ70">
        <f t="shared" si="52"/>
        <v>0</v>
      </c>
    </row>
    <row r="71" spans="1:43" x14ac:dyDescent="0.3">
      <c r="A71" t="s">
        <v>206</v>
      </c>
      <c r="B71" t="s">
        <v>207</v>
      </c>
      <c r="C71" t="s">
        <v>43</v>
      </c>
      <c r="D71" t="s">
        <v>113</v>
      </c>
      <c r="E71" s="10" t="s">
        <v>69</v>
      </c>
      <c r="F71" s="10" t="s">
        <v>114</v>
      </c>
      <c r="G71" s="11">
        <v>77</v>
      </c>
      <c r="H71" s="12">
        <v>63.409090909090907</v>
      </c>
      <c r="I71" s="12">
        <f t="shared" si="30"/>
        <v>77</v>
      </c>
      <c r="J71" s="13">
        <f t="shared" si="27"/>
        <v>92</v>
      </c>
      <c r="K71" s="14">
        <f t="shared" si="31"/>
        <v>83</v>
      </c>
      <c r="L71" s="15">
        <v>1</v>
      </c>
      <c r="M71" s="12">
        <v>0</v>
      </c>
      <c r="N71" s="12">
        <f t="shared" si="32"/>
        <v>1</v>
      </c>
      <c r="O71" s="13">
        <v>2</v>
      </c>
      <c r="P71" s="16">
        <f t="shared" si="28"/>
        <v>2</v>
      </c>
      <c r="Q71" s="15">
        <f t="shared" si="33"/>
        <v>28.590909090909093</v>
      </c>
      <c r="R71" s="12">
        <f t="shared" si="34"/>
        <v>19.590909090909093</v>
      </c>
      <c r="S71" s="12">
        <f t="shared" si="35"/>
        <v>2</v>
      </c>
      <c r="T71" s="12">
        <f t="shared" si="36"/>
        <v>2</v>
      </c>
      <c r="U71" s="17">
        <f t="shared" si="37"/>
        <v>0.45089605734767035</v>
      </c>
      <c r="V71" s="17">
        <f t="shared" si="38"/>
        <v>0.30896057347670247</v>
      </c>
      <c r="W71" s="17" t="str">
        <f t="shared" si="39"/>
        <v>-</v>
      </c>
      <c r="X71" s="17">
        <f t="shared" si="40"/>
        <v>0</v>
      </c>
      <c r="Y71" s="18">
        <f>+IFERROR(VLOOKUP(A71,[1]Hoja1!$A:$B,2,0),0)</f>
        <v>44</v>
      </c>
      <c r="Z71" s="18">
        <f>+IFERROR(VLOOKUP(A71,[1]Hoja1!$D:$E,2,0),0)</f>
        <v>1</v>
      </c>
      <c r="AA71" s="18">
        <f t="shared" si="41"/>
        <v>124</v>
      </c>
      <c r="AB71" s="18">
        <f t="shared" si="41"/>
        <v>3</v>
      </c>
      <c r="AC71">
        <f t="shared" si="42"/>
        <v>1</v>
      </c>
      <c r="AD71">
        <f t="shared" si="43"/>
        <v>1</v>
      </c>
      <c r="AE71">
        <f t="shared" si="44"/>
        <v>1</v>
      </c>
      <c r="AF71" s="17">
        <f t="shared" si="29"/>
        <v>1.3627450980392157</v>
      </c>
      <c r="AG71" s="17">
        <f t="shared" si="45"/>
        <v>1.3478260869565217</v>
      </c>
      <c r="AH71" s="18">
        <f t="shared" si="46"/>
        <v>236</v>
      </c>
      <c r="AI71" s="18">
        <f t="shared" si="46"/>
        <v>5</v>
      </c>
      <c r="AJ71">
        <f t="shared" si="47"/>
        <v>1</v>
      </c>
      <c r="AK71">
        <f t="shared" si="48"/>
        <v>1</v>
      </c>
      <c r="AL71">
        <f t="shared" si="49"/>
        <v>1</v>
      </c>
      <c r="AM71" s="17">
        <f t="shared" si="50"/>
        <v>1.3384615384615384</v>
      </c>
      <c r="AN71" s="17">
        <f t="shared" si="51"/>
        <v>1.3485714285714285</v>
      </c>
      <c r="AO71" s="18">
        <f>+IFERROR(VLOOKUP(A71,[2]Rank!$B:$E,4,0),"No Ganador")</f>
        <v>1</v>
      </c>
      <c r="AP71" s="18">
        <f>+VLOOKUP(D71,[2]Departamento!$A$1:$B$16,2,0)</f>
        <v>1</v>
      </c>
      <c r="AQ71">
        <f t="shared" si="52"/>
        <v>1</v>
      </c>
    </row>
    <row r="72" spans="1:43" x14ac:dyDescent="0.3">
      <c r="A72" t="s">
        <v>208</v>
      </c>
      <c r="B72" t="s">
        <v>209</v>
      </c>
      <c r="C72" t="s">
        <v>43</v>
      </c>
      <c r="D72" t="s">
        <v>44</v>
      </c>
      <c r="E72" s="10" t="s">
        <v>45</v>
      </c>
      <c r="F72" s="10" t="s">
        <v>63</v>
      </c>
      <c r="G72" s="11">
        <v>176</v>
      </c>
      <c r="H72" s="12">
        <v>166.27272727272725</v>
      </c>
      <c r="I72" s="12">
        <f t="shared" si="30"/>
        <v>176</v>
      </c>
      <c r="J72" s="13">
        <f t="shared" si="27"/>
        <v>211</v>
      </c>
      <c r="K72" s="14">
        <f t="shared" si="31"/>
        <v>191</v>
      </c>
      <c r="L72" s="15">
        <v>11</v>
      </c>
      <c r="M72" s="12">
        <v>8.4545454545454533</v>
      </c>
      <c r="N72" s="12">
        <f t="shared" si="32"/>
        <v>11</v>
      </c>
      <c r="O72" s="13">
        <v>13</v>
      </c>
      <c r="P72" s="16">
        <f t="shared" si="28"/>
        <v>12</v>
      </c>
      <c r="Q72" s="15">
        <f t="shared" si="33"/>
        <v>44.727272727272748</v>
      </c>
      <c r="R72" s="12">
        <f t="shared" si="34"/>
        <v>24.727272727272748</v>
      </c>
      <c r="S72" s="12">
        <f t="shared" si="35"/>
        <v>4.5454545454545467</v>
      </c>
      <c r="T72" s="12">
        <f t="shared" si="36"/>
        <v>3.5454545454545467</v>
      </c>
      <c r="U72" s="17">
        <f t="shared" si="37"/>
        <v>0.26899945325314389</v>
      </c>
      <c r="V72" s="17">
        <f t="shared" si="38"/>
        <v>0.14871514488791693</v>
      </c>
      <c r="W72" s="17">
        <f t="shared" si="39"/>
        <v>0.53763440860215073</v>
      </c>
      <c r="X72" s="17">
        <f t="shared" si="40"/>
        <v>0.41935483870967771</v>
      </c>
      <c r="Y72" s="18">
        <f>+IFERROR(VLOOKUP(A72,[1]Hoja1!$A:$B,2,0),0)</f>
        <v>48</v>
      </c>
      <c r="Z72" s="18">
        <f>+IFERROR(VLOOKUP(A72,[1]Hoja1!$D:$E,2,0),0)</f>
        <v>4</v>
      </c>
      <c r="AA72" s="18">
        <f t="shared" si="41"/>
        <v>135</v>
      </c>
      <c r="AB72" s="18">
        <f t="shared" si="41"/>
        <v>11</v>
      </c>
      <c r="AC72">
        <f t="shared" si="42"/>
        <v>0</v>
      </c>
      <c r="AD72">
        <f t="shared" si="43"/>
        <v>0</v>
      </c>
      <c r="AE72">
        <f t="shared" si="44"/>
        <v>0</v>
      </c>
      <c r="AF72" s="17">
        <f t="shared" si="29"/>
        <v>0.68840579710144922</v>
      </c>
      <c r="AG72" s="17">
        <f t="shared" si="45"/>
        <v>0.6398104265402843</v>
      </c>
      <c r="AH72" s="18">
        <f t="shared" si="46"/>
        <v>257</v>
      </c>
      <c r="AI72" s="18">
        <f t="shared" si="46"/>
        <v>21</v>
      </c>
      <c r="AJ72">
        <f t="shared" si="47"/>
        <v>0</v>
      </c>
      <c r="AK72">
        <f t="shared" si="48"/>
        <v>0</v>
      </c>
      <c r="AL72">
        <f t="shared" si="49"/>
        <v>0</v>
      </c>
      <c r="AM72" s="17">
        <f t="shared" si="50"/>
        <v>0.68690702087286526</v>
      </c>
      <c r="AN72" s="17">
        <f t="shared" si="51"/>
        <v>0.63930348258706471</v>
      </c>
      <c r="AO72" s="18" t="str">
        <f>+IFERROR(VLOOKUP(A72,[2]Rank!$B:$E,4,0),"No Ganador")</f>
        <v>No Ganador</v>
      </c>
      <c r="AP72" s="18">
        <f>+VLOOKUP(D72,[2]Departamento!$A$1:$B$16,2,0)</f>
        <v>6</v>
      </c>
      <c r="AQ72">
        <f t="shared" si="52"/>
        <v>0</v>
      </c>
    </row>
    <row r="73" spans="1:43" x14ac:dyDescent="0.3">
      <c r="A73" t="s">
        <v>210</v>
      </c>
      <c r="B73" t="s">
        <v>211</v>
      </c>
      <c r="C73" t="s">
        <v>43</v>
      </c>
      <c r="D73" t="s">
        <v>113</v>
      </c>
      <c r="E73" s="10" t="s">
        <v>69</v>
      </c>
      <c r="F73" s="10" t="s">
        <v>114</v>
      </c>
      <c r="G73" s="11">
        <v>58</v>
      </c>
      <c r="H73" s="12">
        <v>45.090909090909093</v>
      </c>
      <c r="I73" s="12">
        <f t="shared" si="30"/>
        <v>58</v>
      </c>
      <c r="J73" s="13">
        <f t="shared" si="27"/>
        <v>70</v>
      </c>
      <c r="K73" s="14">
        <f t="shared" si="31"/>
        <v>63</v>
      </c>
      <c r="L73" s="15">
        <v>10</v>
      </c>
      <c r="M73" s="12">
        <v>9.8636363636363633</v>
      </c>
      <c r="N73" s="12">
        <f t="shared" si="32"/>
        <v>10</v>
      </c>
      <c r="O73" s="13">
        <v>12</v>
      </c>
      <c r="P73" s="16">
        <f t="shared" si="28"/>
        <v>11</v>
      </c>
      <c r="Q73" s="15">
        <f t="shared" si="33"/>
        <v>24.909090909090907</v>
      </c>
      <c r="R73" s="12">
        <f t="shared" si="34"/>
        <v>17.909090909090907</v>
      </c>
      <c r="S73" s="12">
        <f t="shared" si="35"/>
        <v>2.1363636363636367</v>
      </c>
      <c r="T73" s="12">
        <f t="shared" si="36"/>
        <v>1.1363636363636367</v>
      </c>
      <c r="U73" s="17">
        <f t="shared" si="37"/>
        <v>0.55241935483870952</v>
      </c>
      <c r="V73" s="17">
        <f t="shared" si="38"/>
        <v>0.39717741935483852</v>
      </c>
      <c r="W73" s="17">
        <f t="shared" si="39"/>
        <v>0.21658986175115214</v>
      </c>
      <c r="X73" s="17">
        <f t="shared" si="40"/>
        <v>0.11520737327188946</v>
      </c>
      <c r="Y73" s="18">
        <f>+IFERROR(VLOOKUP(A73,[1]Hoja1!$A:$B,2,0),0)</f>
        <v>0</v>
      </c>
      <c r="Z73" s="18">
        <f>+IFERROR(VLOOKUP(A73,[1]Hoja1!$D:$E,2,0),0)</f>
        <v>0</v>
      </c>
      <c r="AA73" s="18">
        <f t="shared" si="41"/>
        <v>0</v>
      </c>
      <c r="AB73" s="18">
        <f t="shared" si="41"/>
        <v>0</v>
      </c>
      <c r="AC73">
        <f t="shared" si="42"/>
        <v>0</v>
      </c>
      <c r="AD73">
        <f t="shared" si="43"/>
        <v>0</v>
      </c>
      <c r="AE73">
        <f t="shared" si="44"/>
        <v>0</v>
      </c>
      <c r="AF73" s="17">
        <f t="shared" si="29"/>
        <v>0</v>
      </c>
      <c r="AG73" s="17">
        <f t="shared" si="45"/>
        <v>0</v>
      </c>
      <c r="AH73" s="18">
        <f t="shared" si="46"/>
        <v>0</v>
      </c>
      <c r="AI73" s="18">
        <f t="shared" si="46"/>
        <v>0</v>
      </c>
      <c r="AJ73">
        <f t="shared" si="47"/>
        <v>0</v>
      </c>
      <c r="AK73">
        <f t="shared" si="48"/>
        <v>0</v>
      </c>
      <c r="AL73">
        <f t="shared" si="49"/>
        <v>0</v>
      </c>
      <c r="AM73" s="17">
        <f t="shared" si="50"/>
        <v>0</v>
      </c>
      <c r="AN73" s="17">
        <f t="shared" si="51"/>
        <v>0</v>
      </c>
      <c r="AO73" s="18" t="str">
        <f>+IFERROR(VLOOKUP(A73,[2]Rank!$B:$E,4,0),"No Ganador")</f>
        <v>No Ganador</v>
      </c>
      <c r="AP73" s="18">
        <f>+VLOOKUP(D73,[2]Departamento!$A$1:$B$16,2,0)</f>
        <v>1</v>
      </c>
      <c r="AQ73">
        <f t="shared" si="52"/>
        <v>0</v>
      </c>
    </row>
    <row r="74" spans="1:43" x14ac:dyDescent="0.3">
      <c r="A74" t="s">
        <v>212</v>
      </c>
      <c r="B74" t="s">
        <v>213</v>
      </c>
      <c r="C74" t="s">
        <v>43</v>
      </c>
      <c r="D74" t="s">
        <v>119</v>
      </c>
      <c r="E74" s="10" t="s">
        <v>69</v>
      </c>
      <c r="F74" s="10" t="s">
        <v>114</v>
      </c>
      <c r="G74" s="11">
        <v>214</v>
      </c>
      <c r="H74" s="12">
        <v>205.72727272727275</v>
      </c>
      <c r="I74" s="12">
        <f t="shared" si="30"/>
        <v>214</v>
      </c>
      <c r="J74" s="13">
        <f t="shared" si="27"/>
        <v>257</v>
      </c>
      <c r="K74" s="14">
        <f t="shared" si="31"/>
        <v>232</v>
      </c>
      <c r="L74" s="15">
        <v>31</v>
      </c>
      <c r="M74" s="12">
        <v>45.090909090909093</v>
      </c>
      <c r="N74" s="12">
        <f t="shared" si="32"/>
        <v>45.090909090909093</v>
      </c>
      <c r="O74" s="13">
        <v>54</v>
      </c>
      <c r="P74" s="16">
        <f t="shared" si="28"/>
        <v>49</v>
      </c>
      <c r="Q74" s="15">
        <f t="shared" si="33"/>
        <v>51.272727272727252</v>
      </c>
      <c r="R74" s="12">
        <f t="shared" si="34"/>
        <v>26.272727272727252</v>
      </c>
      <c r="S74" s="12">
        <f t="shared" si="35"/>
        <v>8.9090909090909065</v>
      </c>
      <c r="T74" s="12">
        <f t="shared" si="36"/>
        <v>3.9090909090909065</v>
      </c>
      <c r="U74" s="17">
        <f t="shared" si="37"/>
        <v>0.24922669023420219</v>
      </c>
      <c r="V74" s="17">
        <f t="shared" si="38"/>
        <v>0.12770658418029157</v>
      </c>
      <c r="W74" s="17">
        <f t="shared" si="39"/>
        <v>0.19758064516129026</v>
      </c>
      <c r="X74" s="17">
        <f t="shared" si="40"/>
        <v>8.6693548387096753E-2</v>
      </c>
      <c r="Y74" s="18">
        <f>+IFERROR(VLOOKUP(A74,[1]Hoja1!$A:$B,2,0),0)</f>
        <v>67</v>
      </c>
      <c r="Z74" s="18">
        <f>+IFERROR(VLOOKUP(A74,[1]Hoja1!$D:$E,2,0),0)</f>
        <v>8</v>
      </c>
      <c r="AA74" s="18">
        <f t="shared" si="41"/>
        <v>189</v>
      </c>
      <c r="AB74" s="18">
        <f t="shared" si="41"/>
        <v>23</v>
      </c>
      <c r="AC74">
        <f t="shared" si="42"/>
        <v>0</v>
      </c>
      <c r="AD74">
        <f t="shared" si="43"/>
        <v>0</v>
      </c>
      <c r="AE74">
        <f t="shared" si="44"/>
        <v>0</v>
      </c>
      <c r="AF74" s="17">
        <f t="shared" si="29"/>
        <v>0.57685009487666039</v>
      </c>
      <c r="AG74" s="17">
        <f t="shared" si="45"/>
        <v>0.7354085603112841</v>
      </c>
      <c r="AH74" s="18">
        <f t="shared" si="46"/>
        <v>359</v>
      </c>
      <c r="AI74" s="18">
        <f t="shared" si="46"/>
        <v>43</v>
      </c>
      <c r="AJ74">
        <f t="shared" si="47"/>
        <v>0</v>
      </c>
      <c r="AK74">
        <f t="shared" si="48"/>
        <v>0</v>
      </c>
      <c r="AL74">
        <f t="shared" si="49"/>
        <v>0</v>
      </c>
      <c r="AM74" s="17">
        <f t="shared" si="50"/>
        <v>0.57171314741035861</v>
      </c>
      <c r="AN74" s="17">
        <f t="shared" si="51"/>
        <v>0.7341513292433538</v>
      </c>
      <c r="AO74" s="18" t="str">
        <f>+IFERROR(VLOOKUP(A74,[2]Rank!$B:$E,4,0),"No Ganador")</f>
        <v>No Ganador</v>
      </c>
      <c r="AP74" s="18">
        <f>+VLOOKUP(D74,[2]Departamento!$A$1:$B$16,2,0)</f>
        <v>2</v>
      </c>
      <c r="AQ74">
        <f t="shared" si="52"/>
        <v>0</v>
      </c>
    </row>
    <row r="75" spans="1:43" x14ac:dyDescent="0.3">
      <c r="A75" t="s">
        <v>214</v>
      </c>
      <c r="B75" t="s">
        <v>215</v>
      </c>
      <c r="C75" t="s">
        <v>43</v>
      </c>
      <c r="D75" t="s">
        <v>78</v>
      </c>
      <c r="E75" s="10" t="s">
        <v>50</v>
      </c>
      <c r="F75" s="10" t="s">
        <v>51</v>
      </c>
      <c r="G75" s="11">
        <v>79</v>
      </c>
      <c r="H75" s="12">
        <v>70.454545454545467</v>
      </c>
      <c r="I75" s="12">
        <f t="shared" si="30"/>
        <v>79</v>
      </c>
      <c r="J75" s="13">
        <f t="shared" si="27"/>
        <v>95</v>
      </c>
      <c r="K75" s="14">
        <f t="shared" si="31"/>
        <v>86</v>
      </c>
      <c r="L75" s="15">
        <v>0</v>
      </c>
      <c r="M75" s="12">
        <v>2.8181818181818183</v>
      </c>
      <c r="N75" s="12">
        <f t="shared" si="32"/>
        <v>2.8181818181818183</v>
      </c>
      <c r="O75" s="13">
        <v>4</v>
      </c>
      <c r="P75" s="16">
        <f t="shared" si="28"/>
        <v>4</v>
      </c>
      <c r="Q75" s="15">
        <f t="shared" si="33"/>
        <v>24.545454545454533</v>
      </c>
      <c r="R75" s="12">
        <f t="shared" si="34"/>
        <v>15.545454545454533</v>
      </c>
      <c r="S75" s="12">
        <f t="shared" si="35"/>
        <v>1.1818181818181817</v>
      </c>
      <c r="T75" s="12">
        <f t="shared" si="36"/>
        <v>1.1818181818181817</v>
      </c>
      <c r="U75" s="17">
        <f t="shared" si="37"/>
        <v>0.34838709677419333</v>
      </c>
      <c r="V75" s="17">
        <f t="shared" si="38"/>
        <v>0.22064516129032241</v>
      </c>
      <c r="W75" s="17">
        <f t="shared" si="39"/>
        <v>0.41935483870967727</v>
      </c>
      <c r="X75" s="17">
        <f t="shared" si="40"/>
        <v>0.41935483870967727</v>
      </c>
      <c r="Y75" s="18">
        <f>+IFERROR(VLOOKUP(A75,[1]Hoja1!$A:$B,2,0),0)</f>
        <v>39</v>
      </c>
      <c r="Z75" s="18">
        <f>+IFERROR(VLOOKUP(A75,[1]Hoja1!$D:$E,2,0),0)</f>
        <v>2</v>
      </c>
      <c r="AA75" s="18">
        <f t="shared" si="41"/>
        <v>110</v>
      </c>
      <c r="AB75" s="18">
        <f t="shared" si="41"/>
        <v>6</v>
      </c>
      <c r="AC75">
        <f t="shared" si="42"/>
        <v>1</v>
      </c>
      <c r="AD75">
        <f t="shared" si="43"/>
        <v>1</v>
      </c>
      <c r="AE75">
        <f t="shared" si="44"/>
        <v>1</v>
      </c>
      <c r="AF75" s="17">
        <f t="shared" si="29"/>
        <v>1.2173913043478262</v>
      </c>
      <c r="AG75" s="17">
        <f t="shared" si="45"/>
        <v>1.1578947368421053</v>
      </c>
      <c r="AH75" s="18">
        <f t="shared" si="46"/>
        <v>209</v>
      </c>
      <c r="AI75" s="18">
        <f t="shared" si="46"/>
        <v>11</v>
      </c>
      <c r="AJ75">
        <f t="shared" si="47"/>
        <v>1</v>
      </c>
      <c r="AK75">
        <f t="shared" si="48"/>
        <v>1</v>
      </c>
      <c r="AL75">
        <f t="shared" si="49"/>
        <v>1</v>
      </c>
      <c r="AM75" s="17">
        <f t="shared" si="50"/>
        <v>1.1945701357466063</v>
      </c>
      <c r="AN75" s="17">
        <f t="shared" si="51"/>
        <v>1.1546961325966851</v>
      </c>
      <c r="AO75" s="18">
        <f>+IFERROR(VLOOKUP(A75,[2]Rank!$B:$E,4,0),"No Ganador")</f>
        <v>3</v>
      </c>
      <c r="AP75" s="18">
        <f>+VLOOKUP(D75,[2]Departamento!$A$1:$B$16,2,0)</f>
        <v>1</v>
      </c>
      <c r="AQ75">
        <f t="shared" si="52"/>
        <v>0</v>
      </c>
    </row>
    <row r="76" spans="1:43" x14ac:dyDescent="0.3">
      <c r="A76" t="s">
        <v>216</v>
      </c>
      <c r="B76" t="s">
        <v>217</v>
      </c>
      <c r="C76" t="s">
        <v>43</v>
      </c>
      <c r="D76" t="s">
        <v>87</v>
      </c>
      <c r="E76" s="10" t="s">
        <v>57</v>
      </c>
      <c r="F76" s="10" t="s">
        <v>58</v>
      </c>
      <c r="G76" s="11">
        <v>138</v>
      </c>
      <c r="H76" s="12">
        <v>128.22727272727275</v>
      </c>
      <c r="I76" s="12">
        <f t="shared" si="30"/>
        <v>138</v>
      </c>
      <c r="J76" s="13">
        <f t="shared" ref="J76:J139" si="53">ROUND(I76*1.2,0)</f>
        <v>166</v>
      </c>
      <c r="K76" s="14">
        <f t="shared" si="31"/>
        <v>150</v>
      </c>
      <c r="L76" s="15">
        <v>1</v>
      </c>
      <c r="M76" s="12">
        <v>0</v>
      </c>
      <c r="N76" s="12">
        <f t="shared" si="32"/>
        <v>1</v>
      </c>
      <c r="O76" s="13">
        <v>2</v>
      </c>
      <c r="P76" s="16">
        <f t="shared" si="28"/>
        <v>2</v>
      </c>
      <c r="Q76" s="15">
        <f t="shared" si="33"/>
        <v>37.772727272727252</v>
      </c>
      <c r="R76" s="12">
        <f t="shared" si="34"/>
        <v>21.772727272727252</v>
      </c>
      <c r="S76" s="12">
        <f t="shared" si="35"/>
        <v>2</v>
      </c>
      <c r="T76" s="12">
        <f t="shared" si="36"/>
        <v>2</v>
      </c>
      <c r="U76" s="17">
        <f t="shared" si="37"/>
        <v>0.29457639135058478</v>
      </c>
      <c r="V76" s="17">
        <f t="shared" si="38"/>
        <v>0.16979794399149228</v>
      </c>
      <c r="W76" s="17" t="str">
        <f t="shared" si="39"/>
        <v>-</v>
      </c>
      <c r="X76" s="17">
        <f t="shared" si="40"/>
        <v>0</v>
      </c>
      <c r="Y76" s="18">
        <f>+IFERROR(VLOOKUP(A76,[1]Hoja1!$A:$B,2,0),0)</f>
        <v>0</v>
      </c>
      <c r="Z76" s="18">
        <f>+IFERROR(VLOOKUP(A76,[1]Hoja1!$D:$E,2,0),0)</f>
        <v>0</v>
      </c>
      <c r="AA76" s="18">
        <f t="shared" si="41"/>
        <v>0</v>
      </c>
      <c r="AB76" s="18">
        <f t="shared" si="41"/>
        <v>0</v>
      </c>
      <c r="AC76">
        <f t="shared" si="42"/>
        <v>0</v>
      </c>
      <c r="AD76">
        <f t="shared" si="43"/>
        <v>0</v>
      </c>
      <c r="AE76">
        <f t="shared" si="44"/>
        <v>0</v>
      </c>
      <c r="AF76" s="17">
        <f t="shared" si="29"/>
        <v>0</v>
      </c>
      <c r="AG76" s="17">
        <f t="shared" si="45"/>
        <v>0</v>
      </c>
      <c r="AH76" s="18">
        <f t="shared" si="46"/>
        <v>0</v>
      </c>
      <c r="AI76" s="18">
        <f t="shared" si="46"/>
        <v>0</v>
      </c>
      <c r="AJ76">
        <f t="shared" si="47"/>
        <v>0</v>
      </c>
      <c r="AK76">
        <f t="shared" si="48"/>
        <v>0</v>
      </c>
      <c r="AL76">
        <f t="shared" si="49"/>
        <v>0</v>
      </c>
      <c r="AM76" s="17">
        <f t="shared" si="50"/>
        <v>0</v>
      </c>
      <c r="AN76" s="17">
        <f t="shared" si="51"/>
        <v>0</v>
      </c>
      <c r="AO76" s="18" t="str">
        <f>+IFERROR(VLOOKUP(A76,[2]Rank!$B:$E,4,0),"No Ganador")</f>
        <v>No Ganador</v>
      </c>
      <c r="AP76" s="18">
        <f>+VLOOKUP(D76,[2]Departamento!$A$1:$B$16,2,0)</f>
        <v>2</v>
      </c>
      <c r="AQ76">
        <f t="shared" si="52"/>
        <v>0</v>
      </c>
    </row>
    <row r="77" spans="1:43" x14ac:dyDescent="0.3">
      <c r="A77" t="s">
        <v>218</v>
      </c>
      <c r="B77" t="s">
        <v>219</v>
      </c>
      <c r="C77" t="s">
        <v>43</v>
      </c>
      <c r="D77" t="s">
        <v>78</v>
      </c>
      <c r="E77" s="10" t="s">
        <v>50</v>
      </c>
      <c r="F77" s="10" t="s">
        <v>51</v>
      </c>
      <c r="G77" s="11">
        <v>109</v>
      </c>
      <c r="H77" s="12">
        <v>102.86363636363637</v>
      </c>
      <c r="I77" s="12">
        <f t="shared" si="30"/>
        <v>109</v>
      </c>
      <c r="J77" s="13">
        <f t="shared" si="53"/>
        <v>131</v>
      </c>
      <c r="K77" s="14">
        <f t="shared" si="31"/>
        <v>118</v>
      </c>
      <c r="L77" s="15">
        <v>13</v>
      </c>
      <c r="M77" s="12">
        <v>11.272727272727273</v>
      </c>
      <c r="N77" s="12">
        <f t="shared" si="32"/>
        <v>13</v>
      </c>
      <c r="O77" s="13">
        <v>16</v>
      </c>
      <c r="P77" s="16">
        <f t="shared" si="28"/>
        <v>14</v>
      </c>
      <c r="Q77" s="15">
        <f t="shared" si="33"/>
        <v>28.136363636363626</v>
      </c>
      <c r="R77" s="12">
        <f t="shared" si="34"/>
        <v>15.136363636363626</v>
      </c>
      <c r="S77" s="12">
        <f t="shared" si="35"/>
        <v>4.7272727272727266</v>
      </c>
      <c r="T77" s="12">
        <f t="shared" si="36"/>
        <v>2.7272727272727266</v>
      </c>
      <c r="U77" s="17">
        <f t="shared" si="37"/>
        <v>0.27353071144498431</v>
      </c>
      <c r="V77" s="17">
        <f t="shared" si="38"/>
        <v>0.14714980114891718</v>
      </c>
      <c r="W77" s="17">
        <f t="shared" si="39"/>
        <v>0.41935483870967727</v>
      </c>
      <c r="X77" s="17">
        <f t="shared" si="40"/>
        <v>0.24193548387096775</v>
      </c>
      <c r="Y77" s="18">
        <f>+IFERROR(VLOOKUP(A77,[1]Hoja1!$A:$B,2,0),0)</f>
        <v>143</v>
      </c>
      <c r="Z77" s="18">
        <f>+IFERROR(VLOOKUP(A77,[1]Hoja1!$D:$E,2,0),0)</f>
        <v>12</v>
      </c>
      <c r="AA77" s="18">
        <f t="shared" si="41"/>
        <v>403</v>
      </c>
      <c r="AB77" s="18">
        <f t="shared" si="41"/>
        <v>34</v>
      </c>
      <c r="AC77">
        <f t="shared" si="42"/>
        <v>1</v>
      </c>
      <c r="AD77">
        <f t="shared" si="43"/>
        <v>1</v>
      </c>
      <c r="AE77">
        <f t="shared" si="44"/>
        <v>1</v>
      </c>
      <c r="AF77" s="17">
        <f t="shared" si="29"/>
        <v>2.7156398104265405</v>
      </c>
      <c r="AG77" s="17">
        <f t="shared" si="45"/>
        <v>3.0763358778625953</v>
      </c>
      <c r="AH77" s="18">
        <f t="shared" si="46"/>
        <v>767</v>
      </c>
      <c r="AI77" s="18">
        <f t="shared" si="46"/>
        <v>64</v>
      </c>
      <c r="AJ77">
        <f t="shared" si="47"/>
        <v>1</v>
      </c>
      <c r="AK77">
        <f t="shared" si="48"/>
        <v>1</v>
      </c>
      <c r="AL77">
        <f t="shared" si="49"/>
        <v>1</v>
      </c>
      <c r="AM77" s="17">
        <f t="shared" si="50"/>
        <v>2.7243107769423558</v>
      </c>
      <c r="AN77" s="17">
        <f t="shared" si="51"/>
        <v>3.0803212851405624</v>
      </c>
      <c r="AO77" s="18">
        <f>+IFERROR(VLOOKUP(A77,[2]Rank!$B:$E,4,0),"No Ganador")</f>
        <v>1</v>
      </c>
      <c r="AP77" s="18">
        <f>+VLOOKUP(D77,[2]Departamento!$A$1:$B$16,2,0)</f>
        <v>1</v>
      </c>
      <c r="AQ77">
        <f t="shared" si="52"/>
        <v>1</v>
      </c>
    </row>
    <row r="78" spans="1:43" x14ac:dyDescent="0.3">
      <c r="A78" t="s">
        <v>220</v>
      </c>
      <c r="B78" t="s">
        <v>221</v>
      </c>
      <c r="C78" t="s">
        <v>43</v>
      </c>
      <c r="D78" t="s">
        <v>99</v>
      </c>
      <c r="E78" s="10" t="s">
        <v>57</v>
      </c>
      <c r="F78" s="10" t="s">
        <v>46</v>
      </c>
      <c r="G78" s="11">
        <v>103</v>
      </c>
      <c r="H78" s="12">
        <v>95.818181818181813</v>
      </c>
      <c r="I78" s="12">
        <f t="shared" si="30"/>
        <v>103</v>
      </c>
      <c r="J78" s="13">
        <f t="shared" si="53"/>
        <v>124</v>
      </c>
      <c r="K78" s="14">
        <f t="shared" si="31"/>
        <v>112</v>
      </c>
      <c r="L78" s="15">
        <v>12</v>
      </c>
      <c r="M78" s="12">
        <v>5.6363636363636367</v>
      </c>
      <c r="N78" s="12">
        <f t="shared" si="32"/>
        <v>12</v>
      </c>
      <c r="O78" s="13">
        <v>14</v>
      </c>
      <c r="P78" s="16">
        <f t="shared" si="28"/>
        <v>13</v>
      </c>
      <c r="Q78" s="15">
        <f t="shared" si="33"/>
        <v>28.181818181818187</v>
      </c>
      <c r="R78" s="12">
        <f t="shared" si="34"/>
        <v>16.181818181818187</v>
      </c>
      <c r="S78" s="12">
        <f t="shared" si="35"/>
        <v>8.3636363636363633</v>
      </c>
      <c r="T78" s="12">
        <f t="shared" si="36"/>
        <v>7.3636363636363633</v>
      </c>
      <c r="U78" s="17">
        <f t="shared" si="37"/>
        <v>0.29411764705882359</v>
      </c>
      <c r="V78" s="17">
        <f t="shared" si="38"/>
        <v>0.1688804554079697</v>
      </c>
      <c r="W78" s="17">
        <f t="shared" si="39"/>
        <v>1.4838709677419355</v>
      </c>
      <c r="X78" s="17">
        <f t="shared" si="40"/>
        <v>1.3064516129032255</v>
      </c>
      <c r="Y78" s="18">
        <f>+IFERROR(VLOOKUP(A78,[1]Hoja1!$A:$B,2,0),0)</f>
        <v>27</v>
      </c>
      <c r="Z78" s="18">
        <f>+IFERROR(VLOOKUP(A78,[1]Hoja1!$D:$E,2,0),0)</f>
        <v>6</v>
      </c>
      <c r="AA78" s="18">
        <f t="shared" si="41"/>
        <v>76</v>
      </c>
      <c r="AB78" s="18">
        <f t="shared" si="41"/>
        <v>17</v>
      </c>
      <c r="AC78">
        <f t="shared" si="42"/>
        <v>0</v>
      </c>
      <c r="AD78">
        <f t="shared" si="43"/>
        <v>1</v>
      </c>
      <c r="AE78">
        <f t="shared" si="44"/>
        <v>0</v>
      </c>
      <c r="AF78" s="17">
        <f t="shared" si="29"/>
        <v>0.82989690721649489</v>
      </c>
      <c r="AG78" s="17">
        <f t="shared" si="45"/>
        <v>0.61290322580645162</v>
      </c>
      <c r="AH78" s="18">
        <f t="shared" si="46"/>
        <v>145</v>
      </c>
      <c r="AI78" s="18">
        <f t="shared" si="46"/>
        <v>32</v>
      </c>
      <c r="AJ78">
        <f t="shared" si="47"/>
        <v>0</v>
      </c>
      <c r="AK78">
        <f t="shared" si="48"/>
        <v>1</v>
      </c>
      <c r="AL78">
        <f t="shared" si="49"/>
        <v>0</v>
      </c>
      <c r="AM78" s="17">
        <f t="shared" si="50"/>
        <v>0.82210242587601079</v>
      </c>
      <c r="AN78" s="17">
        <f t="shared" si="51"/>
        <v>0.61440677966101698</v>
      </c>
      <c r="AO78" s="18" t="str">
        <f>+IFERROR(VLOOKUP(A78,[2]Rank!$B:$E,4,0),"No Ganador")</f>
        <v>No Ganador</v>
      </c>
      <c r="AP78" s="18">
        <f>+VLOOKUP(D78,[2]Departamento!$A$1:$B$16,2,0)</f>
        <v>2</v>
      </c>
      <c r="AQ78">
        <f t="shared" si="52"/>
        <v>0</v>
      </c>
    </row>
    <row r="79" spans="1:43" x14ac:dyDescent="0.3">
      <c r="A79" t="s">
        <v>222</v>
      </c>
      <c r="B79" t="s">
        <v>223</v>
      </c>
      <c r="C79" t="s">
        <v>43</v>
      </c>
      <c r="D79" t="s">
        <v>56</v>
      </c>
      <c r="E79" s="10" t="s">
        <v>57</v>
      </c>
      <c r="F79" s="10" t="s">
        <v>58</v>
      </c>
      <c r="G79" s="11">
        <v>53</v>
      </c>
      <c r="H79" s="12">
        <v>45</v>
      </c>
      <c r="I79" s="12">
        <f t="shared" si="30"/>
        <v>53</v>
      </c>
      <c r="J79" s="13">
        <f t="shared" si="53"/>
        <v>64</v>
      </c>
      <c r="K79" s="14">
        <f t="shared" si="31"/>
        <v>58</v>
      </c>
      <c r="L79" s="15">
        <v>0</v>
      </c>
      <c r="M79" s="12">
        <v>3</v>
      </c>
      <c r="N79" s="12">
        <f t="shared" si="32"/>
        <v>3</v>
      </c>
      <c r="O79" s="13">
        <v>4</v>
      </c>
      <c r="P79" s="16">
        <v>4</v>
      </c>
      <c r="Q79" s="15">
        <f t="shared" si="33"/>
        <v>19</v>
      </c>
      <c r="R79" s="12">
        <f t="shared" si="34"/>
        <v>13</v>
      </c>
      <c r="S79" s="12">
        <f t="shared" si="35"/>
        <v>1</v>
      </c>
      <c r="T79" s="12">
        <f t="shared" si="36"/>
        <v>1</v>
      </c>
      <c r="U79" s="17">
        <f t="shared" si="37"/>
        <v>0.42222222222222228</v>
      </c>
      <c r="V79" s="17">
        <f t="shared" si="38"/>
        <v>0.28888888888888897</v>
      </c>
      <c r="W79" s="17">
        <f t="shared" si="39"/>
        <v>0.33333333333333326</v>
      </c>
      <c r="X79" s="17">
        <f t="shared" si="40"/>
        <v>0.33333333333333326</v>
      </c>
      <c r="Y79" s="18">
        <f>+IFERROR(VLOOKUP(A79,[1]Hoja1!$A:$B,2,0),0)</f>
        <v>18</v>
      </c>
      <c r="Z79" s="18">
        <f>+IFERROR(VLOOKUP(A79,[1]Hoja1!$D:$E,2,0),0)</f>
        <v>2</v>
      </c>
      <c r="AA79" s="18">
        <f t="shared" si="41"/>
        <v>51</v>
      </c>
      <c r="AB79" s="18">
        <f t="shared" si="41"/>
        <v>6</v>
      </c>
      <c r="AC79">
        <f t="shared" si="42"/>
        <v>0</v>
      </c>
      <c r="AD79">
        <f t="shared" si="43"/>
        <v>1</v>
      </c>
      <c r="AE79">
        <f t="shared" si="44"/>
        <v>0</v>
      </c>
      <c r="AF79" s="17">
        <f t="shared" si="29"/>
        <v>0.9642857142857143</v>
      </c>
      <c r="AG79" s="17">
        <f t="shared" si="45"/>
        <v>0.796875</v>
      </c>
      <c r="AH79" s="18">
        <f t="shared" si="46"/>
        <v>97</v>
      </c>
      <c r="AI79" s="18">
        <f t="shared" si="46"/>
        <v>11</v>
      </c>
      <c r="AJ79">
        <f t="shared" si="47"/>
        <v>0</v>
      </c>
      <c r="AK79">
        <f t="shared" si="48"/>
        <v>1</v>
      </c>
      <c r="AL79">
        <f t="shared" si="49"/>
        <v>0</v>
      </c>
      <c r="AM79" s="17">
        <f t="shared" si="50"/>
        <v>0.93827160493827155</v>
      </c>
      <c r="AN79" s="17">
        <f t="shared" si="51"/>
        <v>0.79508196721311475</v>
      </c>
      <c r="AO79" s="18" t="str">
        <f>+IFERROR(VLOOKUP(A79,[2]Rank!$B:$E,4,0),"No Ganador")</f>
        <v>No Ganador</v>
      </c>
      <c r="AP79" s="18">
        <f>+VLOOKUP(D79,[2]Departamento!$A$1:$B$16,2,0)</f>
        <v>2</v>
      </c>
      <c r="AQ79">
        <f t="shared" si="52"/>
        <v>0</v>
      </c>
    </row>
    <row r="80" spans="1:43" x14ac:dyDescent="0.3">
      <c r="A80" t="s">
        <v>224</v>
      </c>
      <c r="B80" t="s">
        <v>225</v>
      </c>
      <c r="C80" t="s">
        <v>43</v>
      </c>
      <c r="D80" t="s">
        <v>119</v>
      </c>
      <c r="E80" s="10" t="s">
        <v>69</v>
      </c>
      <c r="F80" s="10" t="s">
        <v>114</v>
      </c>
      <c r="G80" s="11">
        <v>52</v>
      </c>
      <c r="H80" s="12">
        <v>40.86363636363636</v>
      </c>
      <c r="I80" s="12">
        <f t="shared" si="30"/>
        <v>52</v>
      </c>
      <c r="J80" s="13">
        <f t="shared" si="53"/>
        <v>62</v>
      </c>
      <c r="K80" s="14">
        <f t="shared" si="31"/>
        <v>56</v>
      </c>
      <c r="L80" s="15">
        <v>0</v>
      </c>
      <c r="M80" s="12">
        <v>0</v>
      </c>
      <c r="N80" s="12">
        <f t="shared" si="32"/>
        <v>0</v>
      </c>
      <c r="O80" s="13">
        <v>1</v>
      </c>
      <c r="P80" s="16">
        <f t="shared" si="28"/>
        <v>1</v>
      </c>
      <c r="Q80" s="15">
        <f t="shared" si="33"/>
        <v>21.13636363636364</v>
      </c>
      <c r="R80" s="12">
        <f t="shared" si="34"/>
        <v>15.13636363636364</v>
      </c>
      <c r="S80" s="12">
        <f t="shared" si="35"/>
        <v>1</v>
      </c>
      <c r="T80" s="12">
        <f t="shared" si="36"/>
        <v>1</v>
      </c>
      <c r="U80" s="17">
        <f t="shared" si="37"/>
        <v>0.51724137931034497</v>
      </c>
      <c r="V80" s="17">
        <f t="shared" si="38"/>
        <v>0.37041156840934386</v>
      </c>
      <c r="W80" s="17" t="str">
        <f t="shared" si="39"/>
        <v>-</v>
      </c>
      <c r="X80" s="17">
        <f t="shared" si="40"/>
        <v>0</v>
      </c>
      <c r="Y80" s="18">
        <f>+IFERROR(VLOOKUP(A80,[1]Hoja1!$A:$B,2,0),0)</f>
        <v>11</v>
      </c>
      <c r="Z80" s="18">
        <f>+IFERROR(VLOOKUP(A80,[1]Hoja1!$D:$E,2,0),0)</f>
        <v>0</v>
      </c>
      <c r="AA80" s="18">
        <f t="shared" si="41"/>
        <v>31</v>
      </c>
      <c r="AB80" s="18">
        <f t="shared" si="41"/>
        <v>0</v>
      </c>
      <c r="AC80">
        <f t="shared" si="42"/>
        <v>0</v>
      </c>
      <c r="AD80">
        <f t="shared" si="43"/>
        <v>0</v>
      </c>
      <c r="AE80">
        <f t="shared" si="44"/>
        <v>0</v>
      </c>
      <c r="AF80" s="17">
        <f t="shared" si="29"/>
        <v>0.46268656716417911</v>
      </c>
      <c r="AG80" s="17">
        <f t="shared" si="45"/>
        <v>0.5</v>
      </c>
      <c r="AH80" s="18">
        <f t="shared" si="46"/>
        <v>59</v>
      </c>
      <c r="AI80" s="18">
        <f t="shared" si="46"/>
        <v>0</v>
      </c>
      <c r="AJ80">
        <f t="shared" si="47"/>
        <v>0</v>
      </c>
      <c r="AK80">
        <f t="shared" si="48"/>
        <v>0</v>
      </c>
      <c r="AL80">
        <f t="shared" si="49"/>
        <v>0</v>
      </c>
      <c r="AM80" s="17">
        <f t="shared" si="50"/>
        <v>0.4609375</v>
      </c>
      <c r="AN80" s="17">
        <f t="shared" si="51"/>
        <v>0.5</v>
      </c>
      <c r="AO80" s="18" t="str">
        <f>+IFERROR(VLOOKUP(A80,[2]Rank!$B:$E,4,0),"No Ganador")</f>
        <v>No Ganador</v>
      </c>
      <c r="AP80" s="18">
        <f>+VLOOKUP(D80,[2]Departamento!$A$1:$B$16,2,0)</f>
        <v>2</v>
      </c>
      <c r="AQ80">
        <f t="shared" si="52"/>
        <v>0</v>
      </c>
    </row>
    <row r="81" spans="1:43" x14ac:dyDescent="0.3">
      <c r="A81" t="s">
        <v>226</v>
      </c>
      <c r="B81" t="s">
        <v>227</v>
      </c>
      <c r="C81" t="s">
        <v>43</v>
      </c>
      <c r="D81" t="s">
        <v>119</v>
      </c>
      <c r="E81" s="10" t="s">
        <v>69</v>
      </c>
      <c r="F81" s="10" t="s">
        <v>114</v>
      </c>
      <c r="G81" s="11">
        <v>43</v>
      </c>
      <c r="H81" s="12">
        <v>32.409090909090907</v>
      </c>
      <c r="I81" s="12">
        <f t="shared" si="30"/>
        <v>43</v>
      </c>
      <c r="J81" s="13">
        <f t="shared" si="53"/>
        <v>52</v>
      </c>
      <c r="K81" s="14">
        <f t="shared" si="31"/>
        <v>47</v>
      </c>
      <c r="L81" s="15">
        <v>7</v>
      </c>
      <c r="M81" s="12">
        <v>11.272727272727273</v>
      </c>
      <c r="N81" s="12">
        <f t="shared" si="32"/>
        <v>11.272727272727273</v>
      </c>
      <c r="O81" s="13">
        <v>14</v>
      </c>
      <c r="P81" s="16">
        <f t="shared" si="28"/>
        <v>13</v>
      </c>
      <c r="Q81" s="15">
        <f t="shared" si="33"/>
        <v>19.590909090909093</v>
      </c>
      <c r="R81" s="12">
        <f t="shared" si="34"/>
        <v>14.590909090909093</v>
      </c>
      <c r="S81" s="12">
        <f t="shared" si="35"/>
        <v>2.7272727272727266</v>
      </c>
      <c r="T81" s="12">
        <f t="shared" si="36"/>
        <v>1.7272727272727266</v>
      </c>
      <c r="U81" s="17">
        <f t="shared" si="37"/>
        <v>0.60448807854137465</v>
      </c>
      <c r="V81" s="17">
        <f t="shared" si="38"/>
        <v>0.45021037868162694</v>
      </c>
      <c r="W81" s="17">
        <f t="shared" si="39"/>
        <v>0.24193548387096775</v>
      </c>
      <c r="X81" s="17">
        <f t="shared" si="40"/>
        <v>0.15322580645161277</v>
      </c>
      <c r="Y81" s="18">
        <f>+IFERROR(VLOOKUP(A81,[1]Hoja1!$A:$B,2,0),0)</f>
        <v>12</v>
      </c>
      <c r="Z81" s="18">
        <f>+IFERROR(VLOOKUP(A81,[1]Hoja1!$D:$E,2,0),0)</f>
        <v>8</v>
      </c>
      <c r="AA81" s="18">
        <f t="shared" si="41"/>
        <v>34</v>
      </c>
      <c r="AB81" s="18">
        <f t="shared" si="41"/>
        <v>23</v>
      </c>
      <c r="AC81">
        <f t="shared" si="42"/>
        <v>0</v>
      </c>
      <c r="AD81">
        <f t="shared" si="43"/>
        <v>1</v>
      </c>
      <c r="AE81">
        <f t="shared" si="44"/>
        <v>0</v>
      </c>
      <c r="AF81" s="17">
        <f t="shared" si="29"/>
        <v>1.221311475409836</v>
      </c>
      <c r="AG81" s="17">
        <f t="shared" si="45"/>
        <v>0.65384615384615385</v>
      </c>
      <c r="AH81" s="18">
        <f t="shared" si="46"/>
        <v>64</v>
      </c>
      <c r="AI81" s="18">
        <f t="shared" si="46"/>
        <v>43</v>
      </c>
      <c r="AJ81">
        <f t="shared" si="47"/>
        <v>0</v>
      </c>
      <c r="AK81">
        <f t="shared" si="48"/>
        <v>1</v>
      </c>
      <c r="AL81">
        <f t="shared" si="49"/>
        <v>0</v>
      </c>
      <c r="AM81" s="17">
        <f t="shared" si="50"/>
        <v>1.1923076923076923</v>
      </c>
      <c r="AN81" s="17">
        <f t="shared" si="51"/>
        <v>0.64646464646464652</v>
      </c>
      <c r="AO81" s="18" t="str">
        <f>+IFERROR(VLOOKUP(A81,[2]Rank!$B:$E,4,0),"No Ganador")</f>
        <v>No Ganador</v>
      </c>
      <c r="AP81" s="18">
        <f>+VLOOKUP(D81,[2]Departamento!$A$1:$B$16,2,0)</f>
        <v>2</v>
      </c>
      <c r="AQ81">
        <f t="shared" si="52"/>
        <v>0</v>
      </c>
    </row>
    <row r="82" spans="1:43" x14ac:dyDescent="0.3">
      <c r="A82" t="s">
        <v>228</v>
      </c>
      <c r="B82" t="s">
        <v>229</v>
      </c>
      <c r="C82" t="s">
        <v>43</v>
      </c>
      <c r="D82" t="s">
        <v>44</v>
      </c>
      <c r="E82" s="10" t="s">
        <v>45</v>
      </c>
      <c r="F82" s="10" t="s">
        <v>63</v>
      </c>
      <c r="G82" s="11">
        <v>91</v>
      </c>
      <c r="H82" s="12">
        <v>83.136363636363626</v>
      </c>
      <c r="I82" s="12">
        <f t="shared" si="30"/>
        <v>91</v>
      </c>
      <c r="J82" s="13">
        <f t="shared" si="53"/>
        <v>109</v>
      </c>
      <c r="K82" s="14">
        <f t="shared" si="31"/>
        <v>98</v>
      </c>
      <c r="L82" s="15">
        <v>5</v>
      </c>
      <c r="M82" s="12">
        <v>2.8181818181818183</v>
      </c>
      <c r="N82" s="12">
        <f t="shared" si="32"/>
        <v>5</v>
      </c>
      <c r="O82" s="13">
        <v>6</v>
      </c>
      <c r="P82" s="16">
        <f t="shared" si="28"/>
        <v>5</v>
      </c>
      <c r="Q82" s="15">
        <f t="shared" si="33"/>
        <v>25.863636363636374</v>
      </c>
      <c r="R82" s="12">
        <f t="shared" si="34"/>
        <v>14.863636363636374</v>
      </c>
      <c r="S82" s="12">
        <f t="shared" si="35"/>
        <v>3.1818181818181817</v>
      </c>
      <c r="T82" s="12">
        <f t="shared" si="36"/>
        <v>2.1818181818181817</v>
      </c>
      <c r="U82" s="17">
        <f t="shared" si="37"/>
        <v>0.31109896118097335</v>
      </c>
      <c r="V82" s="17">
        <f t="shared" si="38"/>
        <v>0.17878622197922378</v>
      </c>
      <c r="W82" s="17">
        <f t="shared" si="39"/>
        <v>1.129032258064516</v>
      </c>
      <c r="X82" s="17">
        <f t="shared" si="40"/>
        <v>0.77419354838709675</v>
      </c>
      <c r="Y82" s="18">
        <f>+IFERROR(VLOOKUP(A82,[1]Hoja1!$A:$B,2,0),0)</f>
        <v>38</v>
      </c>
      <c r="Z82" s="18">
        <f>+IFERROR(VLOOKUP(A82,[1]Hoja1!$D:$E,2,0),0)</f>
        <v>1</v>
      </c>
      <c r="AA82" s="18">
        <f t="shared" si="41"/>
        <v>107</v>
      </c>
      <c r="AB82" s="18">
        <f t="shared" si="41"/>
        <v>3</v>
      </c>
      <c r="AC82">
        <f t="shared" si="42"/>
        <v>0</v>
      </c>
      <c r="AD82">
        <f t="shared" si="43"/>
        <v>0</v>
      </c>
      <c r="AE82">
        <f t="shared" si="44"/>
        <v>0</v>
      </c>
      <c r="AF82" s="17">
        <f t="shared" si="29"/>
        <v>0.87769784172661869</v>
      </c>
      <c r="AG82" s="17">
        <f t="shared" si="45"/>
        <v>0.98165137614678899</v>
      </c>
      <c r="AH82" s="18">
        <f t="shared" si="46"/>
        <v>204</v>
      </c>
      <c r="AI82" s="18">
        <f t="shared" si="46"/>
        <v>5</v>
      </c>
      <c r="AJ82">
        <f t="shared" si="47"/>
        <v>0</v>
      </c>
      <c r="AK82">
        <f t="shared" si="48"/>
        <v>0</v>
      </c>
      <c r="AL82">
        <f t="shared" si="49"/>
        <v>0</v>
      </c>
      <c r="AM82" s="17">
        <f t="shared" si="50"/>
        <v>0.87404580152671751</v>
      </c>
      <c r="AN82" s="17">
        <f t="shared" si="51"/>
        <v>0.98550724637681164</v>
      </c>
      <c r="AO82" s="18" t="str">
        <f>+IFERROR(VLOOKUP(A82,[2]Rank!$B:$E,4,0),"No Ganador")</f>
        <v>No Ganador</v>
      </c>
      <c r="AP82" s="18">
        <f>+VLOOKUP(D82,[2]Departamento!$A$1:$B$16,2,0)</f>
        <v>6</v>
      </c>
      <c r="AQ82">
        <f t="shared" si="52"/>
        <v>0</v>
      </c>
    </row>
    <row r="83" spans="1:43" x14ac:dyDescent="0.3">
      <c r="A83" t="s">
        <v>230</v>
      </c>
      <c r="B83" t="s">
        <v>231</v>
      </c>
      <c r="C83" t="s">
        <v>43</v>
      </c>
      <c r="D83" t="s">
        <v>44</v>
      </c>
      <c r="E83" s="10" t="s">
        <v>45</v>
      </c>
      <c r="F83" s="10" t="s">
        <v>63</v>
      </c>
      <c r="G83" s="11">
        <v>90</v>
      </c>
      <c r="H83" s="12">
        <v>81.72727272727272</v>
      </c>
      <c r="I83" s="12">
        <f t="shared" si="30"/>
        <v>90</v>
      </c>
      <c r="J83" s="13">
        <f t="shared" si="53"/>
        <v>108</v>
      </c>
      <c r="K83" s="14">
        <f t="shared" si="31"/>
        <v>98</v>
      </c>
      <c r="L83" s="15">
        <v>5</v>
      </c>
      <c r="M83" s="12">
        <v>8.4545454545454533</v>
      </c>
      <c r="N83" s="12">
        <f t="shared" si="32"/>
        <v>8.4545454545454533</v>
      </c>
      <c r="O83" s="13">
        <v>10</v>
      </c>
      <c r="P83" s="16">
        <f t="shared" si="28"/>
        <v>9</v>
      </c>
      <c r="Q83" s="15">
        <f t="shared" si="33"/>
        <v>26.27272727272728</v>
      </c>
      <c r="R83" s="12">
        <f t="shared" si="34"/>
        <v>16.27272727272728</v>
      </c>
      <c r="S83" s="12">
        <f t="shared" si="35"/>
        <v>1.5454545454545467</v>
      </c>
      <c r="T83" s="12">
        <f t="shared" si="36"/>
        <v>0.54545454545454675</v>
      </c>
      <c r="U83" s="17">
        <f t="shared" si="37"/>
        <v>0.32146829810901023</v>
      </c>
      <c r="V83" s="17">
        <f t="shared" si="38"/>
        <v>0.19911012235817593</v>
      </c>
      <c r="W83" s="17">
        <f t="shared" si="39"/>
        <v>0.18279569892473146</v>
      </c>
      <c r="X83" s="17">
        <f t="shared" si="40"/>
        <v>6.4516129032258229E-2</v>
      </c>
      <c r="Y83" s="18">
        <f>+IFERROR(VLOOKUP(A83,[1]Hoja1!$A:$B,2,0),0)</f>
        <v>45</v>
      </c>
      <c r="Z83" s="18">
        <f>+IFERROR(VLOOKUP(A83,[1]Hoja1!$D:$E,2,0),0)</f>
        <v>5</v>
      </c>
      <c r="AA83" s="18">
        <f t="shared" si="41"/>
        <v>127</v>
      </c>
      <c r="AB83" s="18">
        <f t="shared" si="41"/>
        <v>14</v>
      </c>
      <c r="AC83">
        <f t="shared" si="42"/>
        <v>1</v>
      </c>
      <c r="AD83">
        <f t="shared" si="43"/>
        <v>1</v>
      </c>
      <c r="AE83">
        <f t="shared" si="44"/>
        <v>1</v>
      </c>
      <c r="AF83" s="17">
        <f t="shared" si="29"/>
        <v>1.2468354430379747</v>
      </c>
      <c r="AG83" s="17">
        <f t="shared" si="45"/>
        <v>1.1759259259259258</v>
      </c>
      <c r="AH83" s="18">
        <f t="shared" si="46"/>
        <v>241</v>
      </c>
      <c r="AI83" s="18">
        <f t="shared" si="46"/>
        <v>27</v>
      </c>
      <c r="AJ83">
        <f t="shared" si="47"/>
        <v>1</v>
      </c>
      <c r="AK83">
        <f t="shared" si="48"/>
        <v>1</v>
      </c>
      <c r="AL83">
        <f t="shared" si="49"/>
        <v>1</v>
      </c>
      <c r="AM83" s="17">
        <f t="shared" si="50"/>
        <v>1.2491694352159468</v>
      </c>
      <c r="AN83" s="17">
        <f t="shared" si="51"/>
        <v>1.1699029126213591</v>
      </c>
      <c r="AO83" s="18">
        <f>+IFERROR(VLOOKUP(A83,[2]Rank!$B:$E,4,0),"No Ganador")</f>
        <v>11</v>
      </c>
      <c r="AP83" s="18">
        <f>+VLOOKUP(D83,[2]Departamento!$A$1:$B$16,2,0)</f>
        <v>6</v>
      </c>
      <c r="AQ83">
        <f t="shared" si="52"/>
        <v>0</v>
      </c>
    </row>
    <row r="84" spans="1:43" x14ac:dyDescent="0.3">
      <c r="A84" t="s">
        <v>232</v>
      </c>
      <c r="B84" t="s">
        <v>233</v>
      </c>
      <c r="C84" t="s">
        <v>43</v>
      </c>
      <c r="D84" t="s">
        <v>56</v>
      </c>
      <c r="E84" s="10" t="s">
        <v>57</v>
      </c>
      <c r="F84" s="10" t="s">
        <v>58</v>
      </c>
      <c r="G84" s="11">
        <v>65</v>
      </c>
      <c r="H84" s="12">
        <v>66</v>
      </c>
      <c r="I84" s="12">
        <v>66</v>
      </c>
      <c r="J84" s="13">
        <f t="shared" si="53"/>
        <v>79</v>
      </c>
      <c r="K84" s="14">
        <f t="shared" si="31"/>
        <v>71</v>
      </c>
      <c r="L84" s="15">
        <v>5</v>
      </c>
      <c r="M84" s="12">
        <v>0</v>
      </c>
      <c r="N84" s="12">
        <f t="shared" si="32"/>
        <v>5</v>
      </c>
      <c r="O84" s="16">
        <f>ROUND(N84*1.2,0)</f>
        <v>6</v>
      </c>
      <c r="P84" s="16">
        <f t="shared" si="28"/>
        <v>5</v>
      </c>
      <c r="Q84" s="15">
        <f t="shared" si="33"/>
        <v>13</v>
      </c>
      <c r="R84" s="12">
        <f t="shared" si="34"/>
        <v>5</v>
      </c>
      <c r="S84" s="12">
        <f t="shared" si="35"/>
        <v>6</v>
      </c>
      <c r="T84" s="12">
        <f t="shared" si="36"/>
        <v>5</v>
      </c>
      <c r="U84" s="17">
        <f t="shared" si="37"/>
        <v>0.19696969696969702</v>
      </c>
      <c r="V84" s="17">
        <f t="shared" si="38"/>
        <v>7.575757575757569E-2</v>
      </c>
      <c r="W84" s="17" t="str">
        <f t="shared" si="39"/>
        <v>-</v>
      </c>
      <c r="X84" s="17">
        <f t="shared" si="40"/>
        <v>0</v>
      </c>
      <c r="Y84" s="18">
        <f>+IFERROR(VLOOKUP(A84,[1]Hoja1!$A:$B,2,0),0)</f>
        <v>23</v>
      </c>
      <c r="Z84" s="18">
        <f>+IFERROR(VLOOKUP(A84,[1]Hoja1!$D:$E,2,0),0)</f>
        <v>2</v>
      </c>
      <c r="AA84" s="18">
        <f t="shared" si="41"/>
        <v>65</v>
      </c>
      <c r="AB84" s="18">
        <f t="shared" si="41"/>
        <v>6</v>
      </c>
      <c r="AC84">
        <f t="shared" si="42"/>
        <v>0</v>
      </c>
      <c r="AD84">
        <f t="shared" si="43"/>
        <v>1</v>
      </c>
      <c r="AE84">
        <f t="shared" si="44"/>
        <v>0</v>
      </c>
      <c r="AF84" s="17">
        <f t="shared" si="29"/>
        <v>0.87155963302752293</v>
      </c>
      <c r="AG84" s="17">
        <f t="shared" si="45"/>
        <v>0.82278481012658233</v>
      </c>
      <c r="AH84" s="18">
        <f t="shared" si="46"/>
        <v>123</v>
      </c>
      <c r="AI84" s="18">
        <f t="shared" si="46"/>
        <v>11</v>
      </c>
      <c r="AJ84">
        <f t="shared" si="47"/>
        <v>0</v>
      </c>
      <c r="AK84">
        <f t="shared" si="48"/>
        <v>1</v>
      </c>
      <c r="AL84">
        <f t="shared" si="49"/>
        <v>0</v>
      </c>
      <c r="AM84" s="17">
        <f t="shared" si="50"/>
        <v>0.86829268292682926</v>
      </c>
      <c r="AN84" s="17">
        <f t="shared" si="51"/>
        <v>0.82</v>
      </c>
      <c r="AO84" s="18" t="str">
        <f>+IFERROR(VLOOKUP(A84,[2]Rank!$B:$E,4,0),"No Ganador")</f>
        <v>No Ganador</v>
      </c>
      <c r="AP84" s="18">
        <f>+VLOOKUP(D84,[2]Departamento!$A$1:$B$16,2,0)</f>
        <v>2</v>
      </c>
      <c r="AQ84">
        <f t="shared" si="52"/>
        <v>0</v>
      </c>
    </row>
    <row r="85" spans="1:43" x14ac:dyDescent="0.3">
      <c r="A85" t="s">
        <v>234</v>
      </c>
      <c r="B85" t="s">
        <v>235</v>
      </c>
      <c r="C85" t="s">
        <v>43</v>
      </c>
      <c r="D85" t="s">
        <v>113</v>
      </c>
      <c r="E85" s="10" t="s">
        <v>69</v>
      </c>
      <c r="F85" s="10" t="s">
        <v>114</v>
      </c>
      <c r="G85" s="11">
        <v>40</v>
      </c>
      <c r="H85" s="12">
        <v>31</v>
      </c>
      <c r="I85" s="12">
        <f t="shared" si="30"/>
        <v>40</v>
      </c>
      <c r="J85" s="13">
        <f t="shared" si="53"/>
        <v>48</v>
      </c>
      <c r="K85" s="14">
        <f t="shared" si="31"/>
        <v>43</v>
      </c>
      <c r="L85" s="15">
        <v>4</v>
      </c>
      <c r="M85" s="12">
        <v>0</v>
      </c>
      <c r="N85" s="12">
        <f t="shared" si="32"/>
        <v>4</v>
      </c>
      <c r="O85" s="13">
        <v>5</v>
      </c>
      <c r="P85" s="16">
        <v>4</v>
      </c>
      <c r="Q85" s="15">
        <f t="shared" si="33"/>
        <v>17</v>
      </c>
      <c r="R85" s="12">
        <f t="shared" si="34"/>
        <v>12</v>
      </c>
      <c r="S85" s="12">
        <f t="shared" si="35"/>
        <v>5</v>
      </c>
      <c r="T85" s="12">
        <f t="shared" si="36"/>
        <v>4</v>
      </c>
      <c r="U85" s="17">
        <f t="shared" si="37"/>
        <v>0.54838709677419351</v>
      </c>
      <c r="V85" s="17">
        <f t="shared" si="38"/>
        <v>0.38709677419354849</v>
      </c>
      <c r="W85" s="17" t="str">
        <f t="shared" si="39"/>
        <v>-</v>
      </c>
      <c r="X85" s="17">
        <f t="shared" si="40"/>
        <v>0</v>
      </c>
      <c r="Y85" s="18">
        <f>+IFERROR(VLOOKUP(A85,[1]Hoja1!$A:$B,2,0),0)</f>
        <v>24</v>
      </c>
      <c r="Z85" s="18">
        <f>+IFERROR(VLOOKUP(A85,[1]Hoja1!$D:$E,2,0),0)</f>
        <v>1</v>
      </c>
      <c r="AA85" s="18">
        <f t="shared" si="41"/>
        <v>68</v>
      </c>
      <c r="AB85" s="18">
        <f t="shared" si="41"/>
        <v>3</v>
      </c>
      <c r="AC85">
        <f t="shared" si="42"/>
        <v>1</v>
      </c>
      <c r="AD85">
        <f t="shared" si="43"/>
        <v>0</v>
      </c>
      <c r="AE85">
        <f t="shared" si="44"/>
        <v>0</v>
      </c>
      <c r="AF85" s="17">
        <f t="shared" si="29"/>
        <v>1.1369863013698631</v>
      </c>
      <c r="AG85" s="17">
        <f t="shared" si="45"/>
        <v>1.4166666666666667</v>
      </c>
      <c r="AH85" s="18">
        <f t="shared" si="46"/>
        <v>129</v>
      </c>
      <c r="AI85" s="18">
        <f t="shared" si="46"/>
        <v>5</v>
      </c>
      <c r="AJ85">
        <f t="shared" si="47"/>
        <v>1</v>
      </c>
      <c r="AK85">
        <f t="shared" si="48"/>
        <v>0</v>
      </c>
      <c r="AL85">
        <f t="shared" si="49"/>
        <v>0</v>
      </c>
      <c r="AM85" s="17">
        <f t="shared" si="50"/>
        <v>1.1323529411764706</v>
      </c>
      <c r="AN85" s="17">
        <f t="shared" si="51"/>
        <v>1.4175824175824177</v>
      </c>
      <c r="AO85" s="18" t="str">
        <f>+IFERROR(VLOOKUP(A85,[2]Rank!$B:$E,4,0),"No Ganador")</f>
        <v>No Ganador</v>
      </c>
      <c r="AP85" s="18">
        <f>+VLOOKUP(D85,[2]Departamento!$A$1:$B$16,2,0)</f>
        <v>1</v>
      </c>
      <c r="AQ85">
        <f t="shared" si="52"/>
        <v>0</v>
      </c>
    </row>
    <row r="86" spans="1:43" x14ac:dyDescent="0.3">
      <c r="A86" t="s">
        <v>236</v>
      </c>
      <c r="B86" t="s">
        <v>237</v>
      </c>
      <c r="C86" t="s">
        <v>43</v>
      </c>
      <c r="D86" t="s">
        <v>87</v>
      </c>
      <c r="E86" s="10" t="s">
        <v>57</v>
      </c>
      <c r="F86" s="10" t="s">
        <v>58</v>
      </c>
      <c r="G86" s="11">
        <v>115</v>
      </c>
      <c r="H86" s="12">
        <v>105.68181818181819</v>
      </c>
      <c r="I86" s="12">
        <f t="shared" si="30"/>
        <v>115</v>
      </c>
      <c r="J86" s="13">
        <f t="shared" si="53"/>
        <v>138</v>
      </c>
      <c r="K86" s="14">
        <f t="shared" si="31"/>
        <v>125</v>
      </c>
      <c r="L86" s="15">
        <v>3</v>
      </c>
      <c r="M86" s="12">
        <v>1.4090909090909092</v>
      </c>
      <c r="N86" s="12">
        <f t="shared" si="32"/>
        <v>3</v>
      </c>
      <c r="O86" s="13">
        <v>4</v>
      </c>
      <c r="P86" s="16">
        <v>3</v>
      </c>
      <c r="Q86" s="15">
        <f t="shared" si="33"/>
        <v>32.318181818181813</v>
      </c>
      <c r="R86" s="12">
        <f t="shared" si="34"/>
        <v>19.318181818181813</v>
      </c>
      <c r="S86" s="12">
        <f t="shared" si="35"/>
        <v>2.5909090909090908</v>
      </c>
      <c r="T86" s="12">
        <f t="shared" si="36"/>
        <v>1.5909090909090908</v>
      </c>
      <c r="U86" s="17">
        <f t="shared" si="37"/>
        <v>0.3058064516129031</v>
      </c>
      <c r="V86" s="17">
        <f t="shared" si="38"/>
        <v>0.18279569892473102</v>
      </c>
      <c r="W86" s="17">
        <f t="shared" si="39"/>
        <v>1.8387096774193545</v>
      </c>
      <c r="X86" s="17">
        <f t="shared" si="40"/>
        <v>1.129032258064516</v>
      </c>
      <c r="Y86" s="18">
        <f>+IFERROR(VLOOKUP(A86,[1]Hoja1!$A:$B,2,0),0)</f>
        <v>44</v>
      </c>
      <c r="Z86" s="18">
        <f>+IFERROR(VLOOKUP(A86,[1]Hoja1!$D:$E,2,0),0)</f>
        <v>1</v>
      </c>
      <c r="AA86" s="18">
        <f t="shared" si="41"/>
        <v>124</v>
      </c>
      <c r="AB86" s="18">
        <f t="shared" si="41"/>
        <v>3</v>
      </c>
      <c r="AC86">
        <f t="shared" si="42"/>
        <v>0</v>
      </c>
      <c r="AD86">
        <f t="shared" si="43"/>
        <v>0</v>
      </c>
      <c r="AE86">
        <f t="shared" si="44"/>
        <v>0</v>
      </c>
      <c r="AF86" s="17">
        <f t="shared" si="29"/>
        <v>0.879746835443038</v>
      </c>
      <c r="AG86" s="17">
        <f t="shared" si="45"/>
        <v>0.89855072463768115</v>
      </c>
      <c r="AH86" s="18">
        <f t="shared" si="46"/>
        <v>236</v>
      </c>
      <c r="AI86" s="18">
        <f t="shared" si="46"/>
        <v>5</v>
      </c>
      <c r="AJ86">
        <f t="shared" si="47"/>
        <v>0</v>
      </c>
      <c r="AK86">
        <f t="shared" si="48"/>
        <v>0</v>
      </c>
      <c r="AL86">
        <f t="shared" si="49"/>
        <v>0</v>
      </c>
      <c r="AM86" s="17">
        <f t="shared" si="50"/>
        <v>0.87583892617449666</v>
      </c>
      <c r="AN86" s="17">
        <f t="shared" si="51"/>
        <v>0.89733840304182511</v>
      </c>
      <c r="AO86" s="18" t="str">
        <f>+IFERROR(VLOOKUP(A86,[2]Rank!$B:$E,4,0),"No Ganador")</f>
        <v>No Ganador</v>
      </c>
      <c r="AP86" s="18">
        <f>+VLOOKUP(D86,[2]Departamento!$A$1:$B$16,2,0)</f>
        <v>2</v>
      </c>
      <c r="AQ86">
        <f t="shared" si="52"/>
        <v>0</v>
      </c>
    </row>
    <row r="87" spans="1:43" x14ac:dyDescent="0.3">
      <c r="A87" t="s">
        <v>238</v>
      </c>
      <c r="B87" t="s">
        <v>239</v>
      </c>
      <c r="C87" t="s">
        <v>43</v>
      </c>
      <c r="D87" t="s">
        <v>99</v>
      </c>
      <c r="E87" s="10" t="s">
        <v>57</v>
      </c>
      <c r="F87" s="10" t="s">
        <v>46</v>
      </c>
      <c r="G87" s="11">
        <v>232</v>
      </c>
      <c r="H87" s="12">
        <v>233.90909090909093</v>
      </c>
      <c r="I87" s="12">
        <f t="shared" si="30"/>
        <v>233.90909090909093</v>
      </c>
      <c r="J87" s="13">
        <f t="shared" si="53"/>
        <v>281</v>
      </c>
      <c r="K87" s="14">
        <f t="shared" si="31"/>
        <v>254</v>
      </c>
      <c r="L87" s="15">
        <v>12</v>
      </c>
      <c r="M87" s="12">
        <v>2.8181818181818183</v>
      </c>
      <c r="N87" s="12">
        <f t="shared" si="32"/>
        <v>12</v>
      </c>
      <c r="O87" s="13">
        <v>14</v>
      </c>
      <c r="P87" s="16">
        <f t="shared" si="28"/>
        <v>13</v>
      </c>
      <c r="Q87" s="15">
        <f t="shared" si="33"/>
        <v>47.090909090909065</v>
      </c>
      <c r="R87" s="12">
        <f t="shared" si="34"/>
        <v>20.090909090909065</v>
      </c>
      <c r="S87" s="12">
        <f t="shared" si="35"/>
        <v>11.181818181818182</v>
      </c>
      <c r="T87" s="12">
        <f t="shared" si="36"/>
        <v>10.181818181818182</v>
      </c>
      <c r="U87" s="17">
        <f t="shared" si="37"/>
        <v>0.20132141469102205</v>
      </c>
      <c r="V87" s="17">
        <f t="shared" si="38"/>
        <v>8.5891954916439861E-2</v>
      </c>
      <c r="W87" s="17">
        <f t="shared" si="39"/>
        <v>3.967741935483871</v>
      </c>
      <c r="X87" s="17">
        <f t="shared" si="40"/>
        <v>3.6129032258064511</v>
      </c>
      <c r="Y87" s="18">
        <f>+IFERROR(VLOOKUP(A87,[1]Hoja1!$A:$B,2,0),0)</f>
        <v>0</v>
      </c>
      <c r="Z87" s="18">
        <f>+IFERROR(VLOOKUP(A87,[1]Hoja1!$D:$E,2,0),0)</f>
        <v>0</v>
      </c>
      <c r="AA87" s="18">
        <f t="shared" si="41"/>
        <v>0</v>
      </c>
      <c r="AB87" s="18">
        <f t="shared" si="41"/>
        <v>0</v>
      </c>
      <c r="AC87">
        <f t="shared" si="42"/>
        <v>0</v>
      </c>
      <c r="AD87">
        <f t="shared" si="43"/>
        <v>0</v>
      </c>
      <c r="AE87">
        <f t="shared" si="44"/>
        <v>0</v>
      </c>
      <c r="AF87" s="17">
        <f t="shared" si="29"/>
        <v>0</v>
      </c>
      <c r="AG87" s="17">
        <f t="shared" si="45"/>
        <v>0</v>
      </c>
      <c r="AH87" s="18">
        <f t="shared" si="46"/>
        <v>0</v>
      </c>
      <c r="AI87" s="18">
        <f t="shared" si="46"/>
        <v>0</v>
      </c>
      <c r="AJ87">
        <f t="shared" si="47"/>
        <v>0</v>
      </c>
      <c r="AK87">
        <f t="shared" si="48"/>
        <v>0</v>
      </c>
      <c r="AL87">
        <f t="shared" si="49"/>
        <v>0</v>
      </c>
      <c r="AM87" s="17">
        <f t="shared" si="50"/>
        <v>0</v>
      </c>
      <c r="AN87" s="17">
        <f t="shared" si="51"/>
        <v>0</v>
      </c>
      <c r="AO87" s="18" t="str">
        <f>+IFERROR(VLOOKUP(A87,[2]Rank!$B:$E,4,0),"No Ganador")</f>
        <v>No Ganador</v>
      </c>
      <c r="AP87" s="18">
        <f>+VLOOKUP(D87,[2]Departamento!$A$1:$B$16,2,0)</f>
        <v>2</v>
      </c>
      <c r="AQ87">
        <f t="shared" si="52"/>
        <v>0</v>
      </c>
    </row>
    <row r="88" spans="1:43" x14ac:dyDescent="0.3">
      <c r="A88" t="s">
        <v>240</v>
      </c>
      <c r="B88" t="s">
        <v>241</v>
      </c>
      <c r="C88" t="s">
        <v>43</v>
      </c>
      <c r="D88" t="s">
        <v>99</v>
      </c>
      <c r="E88" s="10" t="s">
        <v>57</v>
      </c>
      <c r="F88" s="10" t="s">
        <v>46</v>
      </c>
      <c r="G88" s="11">
        <v>219</v>
      </c>
      <c r="H88" s="12">
        <v>211.36363636363637</v>
      </c>
      <c r="I88" s="12">
        <f t="shared" si="30"/>
        <v>219</v>
      </c>
      <c r="J88" s="13">
        <f t="shared" si="53"/>
        <v>263</v>
      </c>
      <c r="K88" s="14">
        <f t="shared" si="31"/>
        <v>238</v>
      </c>
      <c r="L88" s="15">
        <v>1</v>
      </c>
      <c r="M88" s="12">
        <v>1.4090909090909092</v>
      </c>
      <c r="N88" s="12">
        <f t="shared" si="32"/>
        <v>1.4090909090909092</v>
      </c>
      <c r="O88" s="13">
        <v>2</v>
      </c>
      <c r="P88" s="16">
        <f t="shared" si="28"/>
        <v>2</v>
      </c>
      <c r="Q88" s="15">
        <f t="shared" si="33"/>
        <v>51.636363636363626</v>
      </c>
      <c r="R88" s="12">
        <f t="shared" si="34"/>
        <v>26.636363636363626</v>
      </c>
      <c r="S88" s="12">
        <f t="shared" si="35"/>
        <v>0.59090909090909083</v>
      </c>
      <c r="T88" s="12">
        <f t="shared" si="36"/>
        <v>0.59090909090909083</v>
      </c>
      <c r="U88" s="17">
        <f t="shared" si="37"/>
        <v>0.24430107526881706</v>
      </c>
      <c r="V88" s="17">
        <f t="shared" si="38"/>
        <v>0.12602150537634405</v>
      </c>
      <c r="W88" s="17">
        <f t="shared" si="39"/>
        <v>0.41935483870967727</v>
      </c>
      <c r="X88" s="17">
        <f t="shared" si="40"/>
        <v>0.41935483870967727</v>
      </c>
      <c r="Y88" s="18">
        <f>+IFERROR(VLOOKUP(A88,[1]Hoja1!$A:$B,2,0),0)</f>
        <v>82</v>
      </c>
      <c r="Z88" s="18">
        <f>+IFERROR(VLOOKUP(A88,[1]Hoja1!$D:$E,2,0),0)</f>
        <v>8</v>
      </c>
      <c r="AA88" s="18">
        <f t="shared" si="41"/>
        <v>231</v>
      </c>
      <c r="AB88" s="18">
        <f t="shared" si="41"/>
        <v>23</v>
      </c>
      <c r="AC88">
        <f t="shared" si="42"/>
        <v>0</v>
      </c>
      <c r="AD88">
        <f t="shared" si="43"/>
        <v>1</v>
      </c>
      <c r="AE88">
        <f t="shared" si="44"/>
        <v>0</v>
      </c>
      <c r="AF88" s="17">
        <f t="shared" si="29"/>
        <v>1.2673992673992673</v>
      </c>
      <c r="AG88" s="17">
        <f t="shared" si="45"/>
        <v>0.87832699619771859</v>
      </c>
      <c r="AH88" s="18">
        <f t="shared" si="46"/>
        <v>440</v>
      </c>
      <c r="AI88" s="18">
        <f t="shared" si="46"/>
        <v>43</v>
      </c>
      <c r="AJ88">
        <f t="shared" si="47"/>
        <v>0</v>
      </c>
      <c r="AK88">
        <f t="shared" si="48"/>
        <v>1</v>
      </c>
      <c r="AL88">
        <f t="shared" si="49"/>
        <v>0</v>
      </c>
      <c r="AM88" s="17">
        <f t="shared" si="50"/>
        <v>1.2571976967370442</v>
      </c>
      <c r="AN88" s="17">
        <f t="shared" si="51"/>
        <v>0.8782435129740519</v>
      </c>
      <c r="AO88" s="18" t="str">
        <f>+IFERROR(VLOOKUP(A88,[2]Rank!$B:$E,4,0),"No Ganador")</f>
        <v>No Ganador</v>
      </c>
      <c r="AP88" s="18">
        <f>+VLOOKUP(D88,[2]Departamento!$A$1:$B$16,2,0)</f>
        <v>2</v>
      </c>
      <c r="AQ88">
        <f t="shared" si="52"/>
        <v>0</v>
      </c>
    </row>
    <row r="89" spans="1:43" x14ac:dyDescent="0.3">
      <c r="A89" t="s">
        <v>242</v>
      </c>
      <c r="B89" t="s">
        <v>243</v>
      </c>
      <c r="C89" t="s">
        <v>43</v>
      </c>
      <c r="D89" t="s">
        <v>44</v>
      </c>
      <c r="E89" s="10" t="s">
        <v>45</v>
      </c>
      <c r="F89" s="10" t="s">
        <v>63</v>
      </c>
      <c r="G89" s="11">
        <v>170</v>
      </c>
      <c r="H89" s="12">
        <v>162.04545454545456</v>
      </c>
      <c r="I89" s="12">
        <f t="shared" si="30"/>
        <v>170</v>
      </c>
      <c r="J89" s="13">
        <f t="shared" si="53"/>
        <v>204</v>
      </c>
      <c r="K89" s="14">
        <f t="shared" si="31"/>
        <v>184</v>
      </c>
      <c r="L89" s="15">
        <v>7</v>
      </c>
      <c r="M89" s="12">
        <v>4.2272727272727266</v>
      </c>
      <c r="N89" s="12">
        <f t="shared" si="32"/>
        <v>7</v>
      </c>
      <c r="O89" s="13">
        <v>8</v>
      </c>
      <c r="P89" s="16">
        <f t="shared" si="28"/>
        <v>7</v>
      </c>
      <c r="Q89" s="15">
        <f t="shared" si="33"/>
        <v>41.954545454545439</v>
      </c>
      <c r="R89" s="12">
        <f t="shared" si="34"/>
        <v>21.954545454545439</v>
      </c>
      <c r="S89" s="12">
        <f t="shared" si="35"/>
        <v>3.7727272727272734</v>
      </c>
      <c r="T89" s="12">
        <f t="shared" si="36"/>
        <v>2.7727272727272734</v>
      </c>
      <c r="U89" s="17">
        <f t="shared" si="37"/>
        <v>0.25890603085553976</v>
      </c>
      <c r="V89" s="17">
        <f t="shared" si="38"/>
        <v>0.13548387096774173</v>
      </c>
      <c r="W89" s="17">
        <f t="shared" si="39"/>
        <v>0.89247311827957021</v>
      </c>
      <c r="X89" s="17">
        <f t="shared" si="40"/>
        <v>0.65591397849462396</v>
      </c>
      <c r="Y89" s="18">
        <f>+IFERROR(VLOOKUP(A89,[1]Hoja1!$A:$B,2,0),0)</f>
        <v>57</v>
      </c>
      <c r="Z89" s="18">
        <f>+IFERROR(VLOOKUP(A89,[1]Hoja1!$D:$E,2,0),0)</f>
        <v>2</v>
      </c>
      <c r="AA89" s="18">
        <f t="shared" si="41"/>
        <v>161</v>
      </c>
      <c r="AB89" s="18">
        <f t="shared" si="41"/>
        <v>6</v>
      </c>
      <c r="AC89">
        <f t="shared" si="42"/>
        <v>0</v>
      </c>
      <c r="AD89">
        <f t="shared" si="43"/>
        <v>0</v>
      </c>
      <c r="AE89">
        <f t="shared" si="44"/>
        <v>0</v>
      </c>
      <c r="AF89" s="17">
        <f t="shared" si="29"/>
        <v>0.78278688524590168</v>
      </c>
      <c r="AG89" s="17">
        <f t="shared" si="45"/>
        <v>0.78921568627450978</v>
      </c>
      <c r="AH89" s="18">
        <f t="shared" si="46"/>
        <v>306</v>
      </c>
      <c r="AI89" s="18">
        <f t="shared" si="46"/>
        <v>11</v>
      </c>
      <c r="AJ89">
        <f t="shared" si="47"/>
        <v>0</v>
      </c>
      <c r="AK89">
        <f t="shared" si="48"/>
        <v>0</v>
      </c>
      <c r="AL89">
        <f t="shared" si="49"/>
        <v>0</v>
      </c>
      <c r="AM89" s="17">
        <f t="shared" si="50"/>
        <v>0.77969762419006483</v>
      </c>
      <c r="AN89" s="17">
        <f t="shared" si="51"/>
        <v>0.78865979381443296</v>
      </c>
      <c r="AO89" s="18" t="str">
        <f>+IFERROR(VLOOKUP(A89,[2]Rank!$B:$E,4,0),"No Ganador")</f>
        <v>No Ganador</v>
      </c>
      <c r="AP89" s="18">
        <f>+VLOOKUP(D89,[2]Departamento!$A$1:$B$16,2,0)</f>
        <v>6</v>
      </c>
      <c r="AQ89">
        <f t="shared" si="52"/>
        <v>0</v>
      </c>
    </row>
    <row r="90" spans="1:43" x14ac:dyDescent="0.3">
      <c r="A90" t="s">
        <v>244</v>
      </c>
      <c r="B90" t="s">
        <v>245</v>
      </c>
      <c r="C90" t="s">
        <v>43</v>
      </c>
      <c r="D90" t="s">
        <v>44</v>
      </c>
      <c r="E90" s="10" t="s">
        <v>45</v>
      </c>
      <c r="F90" s="10" t="s">
        <v>46</v>
      </c>
      <c r="G90" s="11">
        <v>143</v>
      </c>
      <c r="H90" s="12">
        <v>143.72727272727275</v>
      </c>
      <c r="I90" s="12">
        <f t="shared" si="30"/>
        <v>143.72727272727275</v>
      </c>
      <c r="J90" s="13">
        <f t="shared" si="53"/>
        <v>172</v>
      </c>
      <c r="K90" s="14">
        <f t="shared" si="31"/>
        <v>155</v>
      </c>
      <c r="L90" s="15">
        <v>6</v>
      </c>
      <c r="M90" s="12">
        <v>11.272727272727273</v>
      </c>
      <c r="N90" s="12">
        <f t="shared" si="32"/>
        <v>11.272727272727273</v>
      </c>
      <c r="O90" s="13">
        <v>14</v>
      </c>
      <c r="P90" s="16">
        <f t="shared" si="28"/>
        <v>13</v>
      </c>
      <c r="Q90" s="15">
        <f t="shared" si="33"/>
        <v>28.272727272727252</v>
      </c>
      <c r="R90" s="12">
        <f t="shared" si="34"/>
        <v>11.272727272727252</v>
      </c>
      <c r="S90" s="12">
        <f t="shared" si="35"/>
        <v>2.7272727272727266</v>
      </c>
      <c r="T90" s="12">
        <f t="shared" si="36"/>
        <v>1.7272727272727266</v>
      </c>
      <c r="U90" s="17">
        <f t="shared" si="37"/>
        <v>0.19671094244149256</v>
      </c>
      <c r="V90" s="17">
        <f t="shared" si="38"/>
        <v>7.8431372549019551E-2</v>
      </c>
      <c r="W90" s="17">
        <f t="shared" si="39"/>
        <v>0.24193548387096775</v>
      </c>
      <c r="X90" s="17">
        <f t="shared" si="40"/>
        <v>0.15322580645161277</v>
      </c>
      <c r="Y90" s="18">
        <f>+IFERROR(VLOOKUP(A90,[1]Hoja1!$A:$B,2,0),0)</f>
        <v>53</v>
      </c>
      <c r="Z90" s="18">
        <f>+IFERROR(VLOOKUP(A90,[1]Hoja1!$D:$E,2,0),0)</f>
        <v>3</v>
      </c>
      <c r="AA90" s="18">
        <f t="shared" si="41"/>
        <v>149</v>
      </c>
      <c r="AB90" s="18">
        <f t="shared" si="41"/>
        <v>8</v>
      </c>
      <c r="AC90">
        <f t="shared" si="42"/>
        <v>0</v>
      </c>
      <c r="AD90">
        <f t="shared" si="43"/>
        <v>0</v>
      </c>
      <c r="AE90">
        <f t="shared" si="44"/>
        <v>0</v>
      </c>
      <c r="AF90" s="17">
        <f t="shared" si="29"/>
        <v>0.78099173553719003</v>
      </c>
      <c r="AG90" s="17">
        <f t="shared" si="45"/>
        <v>0.86627906976744184</v>
      </c>
      <c r="AH90" s="18">
        <f t="shared" si="46"/>
        <v>284</v>
      </c>
      <c r="AI90" s="18">
        <f t="shared" si="46"/>
        <v>16</v>
      </c>
      <c r="AJ90">
        <f t="shared" si="47"/>
        <v>0</v>
      </c>
      <c r="AK90">
        <f t="shared" si="48"/>
        <v>0</v>
      </c>
      <c r="AL90">
        <f t="shared" si="49"/>
        <v>0</v>
      </c>
      <c r="AM90" s="17">
        <f t="shared" si="50"/>
        <v>0.78787878787878785</v>
      </c>
      <c r="AN90" s="17">
        <f t="shared" si="51"/>
        <v>0.86850152905198774</v>
      </c>
      <c r="AO90" s="18" t="str">
        <f>+IFERROR(VLOOKUP(A90,[2]Rank!$B:$E,4,0),"No Ganador")</f>
        <v>No Ganador</v>
      </c>
      <c r="AP90" s="18">
        <f>+VLOOKUP(D90,[2]Departamento!$A$1:$B$16,2,0)</f>
        <v>6</v>
      </c>
      <c r="AQ90">
        <f t="shared" si="52"/>
        <v>0</v>
      </c>
    </row>
    <row r="91" spans="1:43" x14ac:dyDescent="0.3">
      <c r="A91" t="s">
        <v>246</v>
      </c>
      <c r="B91" t="s">
        <v>247</v>
      </c>
      <c r="C91" t="s">
        <v>43</v>
      </c>
      <c r="D91" t="s">
        <v>119</v>
      </c>
      <c r="E91" s="10" t="s">
        <v>69</v>
      </c>
      <c r="F91" s="10" t="s">
        <v>114</v>
      </c>
      <c r="G91" s="11">
        <v>102</v>
      </c>
      <c r="H91" s="12">
        <v>101.45454545454547</v>
      </c>
      <c r="I91" s="12">
        <f t="shared" si="30"/>
        <v>102</v>
      </c>
      <c r="J91" s="13">
        <f t="shared" si="53"/>
        <v>122</v>
      </c>
      <c r="K91" s="14">
        <f t="shared" si="31"/>
        <v>110</v>
      </c>
      <c r="L91" s="15">
        <v>5</v>
      </c>
      <c r="M91" s="12">
        <v>0</v>
      </c>
      <c r="N91" s="12">
        <f t="shared" si="32"/>
        <v>5</v>
      </c>
      <c r="O91" s="13">
        <v>6</v>
      </c>
      <c r="P91" s="16">
        <f t="shared" si="28"/>
        <v>5</v>
      </c>
      <c r="Q91" s="15">
        <f t="shared" si="33"/>
        <v>20.545454545454533</v>
      </c>
      <c r="R91" s="12">
        <f t="shared" si="34"/>
        <v>8.5454545454545325</v>
      </c>
      <c r="S91" s="12">
        <f t="shared" si="35"/>
        <v>6</v>
      </c>
      <c r="T91" s="12">
        <f t="shared" si="36"/>
        <v>5</v>
      </c>
      <c r="U91" s="17">
        <f t="shared" si="37"/>
        <v>0.20250896057347645</v>
      </c>
      <c r="V91" s="17">
        <f t="shared" si="38"/>
        <v>8.4229390681003435E-2</v>
      </c>
      <c r="W91" s="17" t="str">
        <f t="shared" si="39"/>
        <v>-</v>
      </c>
      <c r="X91" s="17">
        <f t="shared" si="40"/>
        <v>0</v>
      </c>
      <c r="Y91" s="18">
        <f>+IFERROR(VLOOKUP(A91,[1]Hoja1!$A:$B,2,0),0)</f>
        <v>18</v>
      </c>
      <c r="Z91" s="18">
        <f>+IFERROR(VLOOKUP(A91,[1]Hoja1!$D:$E,2,0),0)</f>
        <v>0</v>
      </c>
      <c r="AA91" s="18">
        <f t="shared" si="41"/>
        <v>51</v>
      </c>
      <c r="AB91" s="18">
        <f t="shared" si="41"/>
        <v>0</v>
      </c>
      <c r="AC91">
        <f t="shared" si="42"/>
        <v>0</v>
      </c>
      <c r="AD91">
        <f t="shared" si="43"/>
        <v>0</v>
      </c>
      <c r="AE91">
        <f t="shared" si="44"/>
        <v>0</v>
      </c>
      <c r="AF91" s="17">
        <f t="shared" si="29"/>
        <v>0.33552631578947367</v>
      </c>
      <c r="AG91" s="17">
        <f t="shared" si="45"/>
        <v>0.41803278688524592</v>
      </c>
      <c r="AH91" s="18">
        <f t="shared" si="46"/>
        <v>97</v>
      </c>
      <c r="AI91" s="18">
        <f t="shared" si="46"/>
        <v>0</v>
      </c>
      <c r="AJ91">
        <f t="shared" si="47"/>
        <v>0</v>
      </c>
      <c r="AK91">
        <f t="shared" si="48"/>
        <v>0</v>
      </c>
      <c r="AL91">
        <f t="shared" si="49"/>
        <v>0</v>
      </c>
      <c r="AM91" s="17">
        <f t="shared" si="50"/>
        <v>0.33797909407665505</v>
      </c>
      <c r="AN91" s="17">
        <f t="shared" si="51"/>
        <v>0.41810344827586204</v>
      </c>
      <c r="AO91" s="18" t="str">
        <f>+IFERROR(VLOOKUP(A91,[2]Rank!$B:$E,4,0),"No Ganador")</f>
        <v>No Ganador</v>
      </c>
      <c r="AP91" s="18">
        <f>+VLOOKUP(D91,[2]Departamento!$A$1:$B$16,2,0)</f>
        <v>2</v>
      </c>
      <c r="AQ91">
        <f t="shared" si="52"/>
        <v>0</v>
      </c>
    </row>
    <row r="92" spans="1:43" x14ac:dyDescent="0.3">
      <c r="A92" t="s">
        <v>248</v>
      </c>
      <c r="B92" t="s">
        <v>249</v>
      </c>
      <c r="C92" t="s">
        <v>43</v>
      </c>
      <c r="D92" t="s">
        <v>159</v>
      </c>
      <c r="E92" s="10" t="s">
        <v>57</v>
      </c>
      <c r="F92" s="10" t="s">
        <v>51</v>
      </c>
      <c r="G92" s="11">
        <v>329</v>
      </c>
      <c r="H92" s="12">
        <v>325.5</v>
      </c>
      <c r="I92" s="12">
        <f t="shared" si="30"/>
        <v>329</v>
      </c>
      <c r="J92" s="13">
        <f t="shared" si="53"/>
        <v>395</v>
      </c>
      <c r="K92" s="14">
        <f t="shared" si="31"/>
        <v>357</v>
      </c>
      <c r="L92" s="15">
        <v>20</v>
      </c>
      <c r="M92" s="12">
        <v>12.681818181818183</v>
      </c>
      <c r="N92" s="12">
        <f t="shared" si="32"/>
        <v>20</v>
      </c>
      <c r="O92" s="13">
        <v>24</v>
      </c>
      <c r="P92" s="16">
        <f t="shared" si="28"/>
        <v>22</v>
      </c>
      <c r="Q92" s="15">
        <f t="shared" si="33"/>
        <v>69.5</v>
      </c>
      <c r="R92" s="12">
        <f t="shared" si="34"/>
        <v>31.5</v>
      </c>
      <c r="S92" s="12">
        <f t="shared" si="35"/>
        <v>11.318181818181817</v>
      </c>
      <c r="T92" s="12">
        <f t="shared" si="36"/>
        <v>9.3181818181818166</v>
      </c>
      <c r="U92" s="17">
        <f t="shared" si="37"/>
        <v>0.21351766513056836</v>
      </c>
      <c r="V92" s="17">
        <f t="shared" si="38"/>
        <v>9.6774193548387011E-2</v>
      </c>
      <c r="W92" s="17">
        <f t="shared" si="39"/>
        <v>0.89247311827956954</v>
      </c>
      <c r="X92" s="17">
        <f t="shared" si="40"/>
        <v>0.73476702508960545</v>
      </c>
      <c r="Y92" s="18">
        <f>+IFERROR(VLOOKUP(A92,[1]Hoja1!$A:$B,2,0),0)</f>
        <v>205</v>
      </c>
      <c r="Z92" s="18">
        <f>+IFERROR(VLOOKUP(A92,[1]Hoja1!$D:$E,2,0),0)</f>
        <v>15</v>
      </c>
      <c r="AA92" s="18">
        <f t="shared" si="41"/>
        <v>578</v>
      </c>
      <c r="AB92" s="18">
        <f t="shared" si="41"/>
        <v>42</v>
      </c>
      <c r="AC92">
        <f t="shared" si="42"/>
        <v>1</v>
      </c>
      <c r="AD92">
        <f t="shared" si="43"/>
        <v>1</v>
      </c>
      <c r="AE92">
        <f t="shared" si="44"/>
        <v>1</v>
      </c>
      <c r="AF92" s="17">
        <f t="shared" si="29"/>
        <v>1.5300970873786408</v>
      </c>
      <c r="AG92" s="17">
        <f t="shared" si="45"/>
        <v>1.4632911392405064</v>
      </c>
      <c r="AH92" s="18">
        <f t="shared" si="46"/>
        <v>1100</v>
      </c>
      <c r="AI92" s="18">
        <f t="shared" si="46"/>
        <v>80</v>
      </c>
      <c r="AJ92">
        <f t="shared" si="47"/>
        <v>1</v>
      </c>
      <c r="AK92">
        <f t="shared" si="48"/>
        <v>1</v>
      </c>
      <c r="AL92">
        <f t="shared" si="49"/>
        <v>1</v>
      </c>
      <c r="AM92" s="17">
        <f t="shared" si="50"/>
        <v>1.5274949083503055</v>
      </c>
      <c r="AN92" s="17">
        <f t="shared" si="51"/>
        <v>1.4627659574468086</v>
      </c>
      <c r="AO92" s="18">
        <f>+IFERROR(VLOOKUP(A92,[2]Rank!$B:$E,4,0),"No Ganador")</f>
        <v>1</v>
      </c>
      <c r="AP92" s="18">
        <f>+VLOOKUP(D92,[2]Departamento!$A$1:$B$16,2,0)</f>
        <v>2</v>
      </c>
      <c r="AQ92">
        <f t="shared" si="52"/>
        <v>1</v>
      </c>
    </row>
    <row r="93" spans="1:43" x14ac:dyDescent="0.3">
      <c r="A93" t="s">
        <v>250</v>
      </c>
      <c r="B93" t="s">
        <v>251</v>
      </c>
      <c r="C93" t="s">
        <v>43</v>
      </c>
      <c r="D93" t="s">
        <v>44</v>
      </c>
      <c r="E93" s="10" t="s">
        <v>45</v>
      </c>
      <c r="F93" s="10" t="s">
        <v>46</v>
      </c>
      <c r="G93" s="11">
        <v>91</v>
      </c>
      <c r="H93" s="12">
        <v>90.181818181818187</v>
      </c>
      <c r="I93" s="12">
        <f t="shared" si="30"/>
        <v>91</v>
      </c>
      <c r="J93" s="13">
        <f t="shared" si="53"/>
        <v>109</v>
      </c>
      <c r="K93" s="14">
        <f t="shared" si="31"/>
        <v>98</v>
      </c>
      <c r="L93" s="15">
        <v>0</v>
      </c>
      <c r="M93" s="12">
        <v>0</v>
      </c>
      <c r="N93" s="12">
        <f t="shared" si="32"/>
        <v>0</v>
      </c>
      <c r="O93" s="13">
        <v>1</v>
      </c>
      <c r="P93" s="16">
        <f t="shared" ref="P93:P156" si="54">ROUND(O93/31*28,0)</f>
        <v>1</v>
      </c>
      <c r="Q93" s="15">
        <f t="shared" si="33"/>
        <v>18.818181818181813</v>
      </c>
      <c r="R93" s="12">
        <f t="shared" si="34"/>
        <v>7.818181818181813</v>
      </c>
      <c r="S93" s="12">
        <f t="shared" si="35"/>
        <v>1</v>
      </c>
      <c r="T93" s="12">
        <f t="shared" si="36"/>
        <v>1</v>
      </c>
      <c r="U93" s="17">
        <f t="shared" si="37"/>
        <v>0.20866935483870952</v>
      </c>
      <c r="V93" s="17">
        <f t="shared" si="38"/>
        <v>8.6693548387096753E-2</v>
      </c>
      <c r="W93" s="17" t="str">
        <f t="shared" si="39"/>
        <v>-</v>
      </c>
      <c r="X93" s="17">
        <f t="shared" si="40"/>
        <v>0</v>
      </c>
      <c r="Y93" s="18">
        <f>+IFERROR(VLOOKUP(A93,[1]Hoja1!$A:$B,2,0),0)</f>
        <v>39</v>
      </c>
      <c r="Z93" s="18">
        <f>+IFERROR(VLOOKUP(A93,[1]Hoja1!$D:$E,2,0),0)</f>
        <v>1</v>
      </c>
      <c r="AA93" s="18">
        <f t="shared" si="41"/>
        <v>110</v>
      </c>
      <c r="AB93" s="18">
        <f t="shared" si="41"/>
        <v>3</v>
      </c>
      <c r="AC93">
        <f t="shared" si="42"/>
        <v>1</v>
      </c>
      <c r="AD93">
        <f t="shared" si="43"/>
        <v>1</v>
      </c>
      <c r="AE93">
        <f t="shared" si="44"/>
        <v>1</v>
      </c>
      <c r="AF93" s="17">
        <f t="shared" ref="AF93:AF156" si="55">+(AA93+(5*AB93))/(J93+(5*O93))</f>
        <v>1.0964912280701755</v>
      </c>
      <c r="AG93" s="17">
        <f t="shared" si="45"/>
        <v>1.0091743119266054</v>
      </c>
      <c r="AH93" s="18">
        <f t="shared" si="46"/>
        <v>209</v>
      </c>
      <c r="AI93" s="18">
        <f t="shared" si="46"/>
        <v>5</v>
      </c>
      <c r="AJ93">
        <f t="shared" si="47"/>
        <v>1</v>
      </c>
      <c r="AK93">
        <f t="shared" si="48"/>
        <v>1</v>
      </c>
      <c r="AL93">
        <f t="shared" si="49"/>
        <v>1</v>
      </c>
      <c r="AM93" s="17">
        <f t="shared" si="50"/>
        <v>1.0783410138248848</v>
      </c>
      <c r="AN93" s="17">
        <f t="shared" si="51"/>
        <v>1.0096618357487923</v>
      </c>
      <c r="AO93" s="18">
        <f>+IFERROR(VLOOKUP(A93,[2]Rank!$B:$E,4,0),"No Ganador")</f>
        <v>15</v>
      </c>
      <c r="AP93" s="18">
        <f>+VLOOKUP(D93,[2]Departamento!$A$1:$B$16,2,0)</f>
        <v>6</v>
      </c>
      <c r="AQ93">
        <f t="shared" si="52"/>
        <v>0</v>
      </c>
    </row>
    <row r="94" spans="1:43" x14ac:dyDescent="0.3">
      <c r="A94" t="s">
        <v>252</v>
      </c>
      <c r="B94" t="s">
        <v>253</v>
      </c>
      <c r="C94" t="s">
        <v>43</v>
      </c>
      <c r="D94" t="s">
        <v>44</v>
      </c>
      <c r="E94" s="10" t="s">
        <v>45</v>
      </c>
      <c r="F94" s="10" t="s">
        <v>46</v>
      </c>
      <c r="G94" s="11">
        <v>93</v>
      </c>
      <c r="H94" s="12">
        <v>91.590909090909093</v>
      </c>
      <c r="I94" s="12">
        <f t="shared" si="30"/>
        <v>93</v>
      </c>
      <c r="J94" s="13">
        <f t="shared" si="53"/>
        <v>112</v>
      </c>
      <c r="K94" s="14">
        <f t="shared" si="31"/>
        <v>101</v>
      </c>
      <c r="L94" s="15">
        <v>0</v>
      </c>
      <c r="M94" s="12">
        <v>1.4090909090909092</v>
      </c>
      <c r="N94" s="12">
        <f t="shared" si="32"/>
        <v>1.4090909090909092</v>
      </c>
      <c r="O94" s="13">
        <v>2</v>
      </c>
      <c r="P94" s="16">
        <f t="shared" si="54"/>
        <v>2</v>
      </c>
      <c r="Q94" s="15">
        <f t="shared" si="33"/>
        <v>20.409090909090907</v>
      </c>
      <c r="R94" s="12">
        <f t="shared" si="34"/>
        <v>9.4090909090909065</v>
      </c>
      <c r="S94" s="12">
        <f t="shared" si="35"/>
        <v>0.59090909090909083</v>
      </c>
      <c r="T94" s="12">
        <f t="shared" si="36"/>
        <v>0.59090909090909083</v>
      </c>
      <c r="U94" s="17">
        <f t="shared" si="37"/>
        <v>0.22282878411910656</v>
      </c>
      <c r="V94" s="17">
        <f t="shared" si="38"/>
        <v>0.10272952853598016</v>
      </c>
      <c r="W94" s="17">
        <f t="shared" si="39"/>
        <v>0.41935483870967727</v>
      </c>
      <c r="X94" s="17">
        <f t="shared" si="40"/>
        <v>0.41935483870967727</v>
      </c>
      <c r="Y94" s="18">
        <f>+IFERROR(VLOOKUP(A94,[1]Hoja1!$A:$B,2,0),0)</f>
        <v>43</v>
      </c>
      <c r="Z94" s="18">
        <f>+IFERROR(VLOOKUP(A94,[1]Hoja1!$D:$E,2,0),0)</f>
        <v>0</v>
      </c>
      <c r="AA94" s="18">
        <f t="shared" si="41"/>
        <v>121</v>
      </c>
      <c r="AB94" s="18">
        <f t="shared" si="41"/>
        <v>0</v>
      </c>
      <c r="AC94">
        <f t="shared" si="42"/>
        <v>1</v>
      </c>
      <c r="AD94">
        <f t="shared" si="43"/>
        <v>0</v>
      </c>
      <c r="AE94">
        <f t="shared" si="44"/>
        <v>0</v>
      </c>
      <c r="AF94" s="17">
        <f t="shared" si="55"/>
        <v>0.99180327868852458</v>
      </c>
      <c r="AG94" s="17">
        <f t="shared" si="45"/>
        <v>1.0803571428571428</v>
      </c>
      <c r="AH94" s="18">
        <f t="shared" si="46"/>
        <v>231</v>
      </c>
      <c r="AI94" s="18">
        <f t="shared" si="46"/>
        <v>0</v>
      </c>
      <c r="AJ94">
        <f t="shared" si="47"/>
        <v>1</v>
      </c>
      <c r="AK94">
        <f t="shared" si="48"/>
        <v>0</v>
      </c>
      <c r="AL94">
        <f t="shared" si="49"/>
        <v>0</v>
      </c>
      <c r="AM94" s="17">
        <f t="shared" si="50"/>
        <v>0.99141630901287559</v>
      </c>
      <c r="AN94" s="17">
        <f t="shared" si="51"/>
        <v>1.0845070422535212</v>
      </c>
      <c r="AO94" s="18" t="str">
        <f>+IFERROR(VLOOKUP(A94,[2]Rank!$B:$E,4,0),"No Ganador")</f>
        <v>No Ganador</v>
      </c>
      <c r="AP94" s="18">
        <f>+VLOOKUP(D94,[2]Departamento!$A$1:$B$16,2,0)</f>
        <v>6</v>
      </c>
      <c r="AQ94">
        <f t="shared" si="52"/>
        <v>0</v>
      </c>
    </row>
    <row r="95" spans="1:43" x14ac:dyDescent="0.3">
      <c r="A95" t="s">
        <v>254</v>
      </c>
      <c r="B95" t="s">
        <v>255</v>
      </c>
      <c r="C95" t="s">
        <v>43</v>
      </c>
      <c r="D95" t="s">
        <v>44</v>
      </c>
      <c r="E95" s="10" t="s">
        <v>45</v>
      </c>
      <c r="F95" s="10" t="s">
        <v>46</v>
      </c>
      <c r="G95" s="11">
        <v>111</v>
      </c>
      <c r="H95" s="12">
        <v>111.31818181818181</v>
      </c>
      <c r="I95" s="12">
        <f t="shared" si="30"/>
        <v>111.31818181818181</v>
      </c>
      <c r="J95" s="13">
        <f t="shared" si="53"/>
        <v>134</v>
      </c>
      <c r="K95" s="14">
        <f t="shared" si="31"/>
        <v>121</v>
      </c>
      <c r="L95" s="15">
        <v>7</v>
      </c>
      <c r="M95" s="12">
        <v>1.4090909090909092</v>
      </c>
      <c r="N95" s="12">
        <f t="shared" si="32"/>
        <v>7</v>
      </c>
      <c r="O95" s="13">
        <v>8</v>
      </c>
      <c r="P95" s="16">
        <f t="shared" si="54"/>
        <v>7</v>
      </c>
      <c r="Q95" s="15">
        <f t="shared" si="33"/>
        <v>22.681818181818187</v>
      </c>
      <c r="R95" s="12">
        <f t="shared" si="34"/>
        <v>9.681818181818187</v>
      </c>
      <c r="S95" s="12">
        <f t="shared" si="35"/>
        <v>6.5909090909090908</v>
      </c>
      <c r="T95" s="12">
        <f t="shared" si="36"/>
        <v>5.5909090909090908</v>
      </c>
      <c r="U95" s="17">
        <f t="shared" si="37"/>
        <v>0.20375663536137201</v>
      </c>
      <c r="V95" s="17">
        <f t="shared" si="38"/>
        <v>8.6974275214373176E-2</v>
      </c>
      <c r="W95" s="17">
        <f t="shared" si="39"/>
        <v>4.6774193548387091</v>
      </c>
      <c r="X95" s="17">
        <f t="shared" si="40"/>
        <v>3.967741935483871</v>
      </c>
      <c r="Y95" s="18">
        <f>+IFERROR(VLOOKUP(A95,[1]Hoja1!$A:$B,2,0),0)</f>
        <v>52</v>
      </c>
      <c r="Z95" s="18">
        <f>+IFERROR(VLOOKUP(A95,[1]Hoja1!$D:$E,2,0),0)</f>
        <v>2</v>
      </c>
      <c r="AA95" s="18">
        <f t="shared" si="41"/>
        <v>147</v>
      </c>
      <c r="AB95" s="18">
        <f t="shared" si="41"/>
        <v>6</v>
      </c>
      <c r="AC95">
        <f t="shared" si="42"/>
        <v>1</v>
      </c>
      <c r="AD95">
        <f t="shared" si="43"/>
        <v>0</v>
      </c>
      <c r="AE95">
        <f t="shared" si="44"/>
        <v>0</v>
      </c>
      <c r="AF95" s="17">
        <f t="shared" si="55"/>
        <v>1.0172413793103448</v>
      </c>
      <c r="AG95" s="17">
        <f t="shared" si="45"/>
        <v>1.0970149253731343</v>
      </c>
      <c r="AH95" s="18">
        <f t="shared" si="46"/>
        <v>279</v>
      </c>
      <c r="AI95" s="18">
        <f t="shared" si="46"/>
        <v>11</v>
      </c>
      <c r="AJ95">
        <f t="shared" si="47"/>
        <v>1</v>
      </c>
      <c r="AK95">
        <f t="shared" si="48"/>
        <v>0</v>
      </c>
      <c r="AL95">
        <f t="shared" si="49"/>
        <v>0</v>
      </c>
      <c r="AM95" s="17">
        <f t="shared" si="50"/>
        <v>1.0121212121212122</v>
      </c>
      <c r="AN95" s="17">
        <f t="shared" si="51"/>
        <v>1.0941176470588236</v>
      </c>
      <c r="AO95" s="18" t="str">
        <f>+IFERROR(VLOOKUP(A95,[2]Rank!$B:$E,4,0),"No Ganador")</f>
        <v>No Ganador</v>
      </c>
      <c r="AP95" s="18">
        <f>+VLOOKUP(D95,[2]Departamento!$A$1:$B$16,2,0)</f>
        <v>6</v>
      </c>
      <c r="AQ95">
        <f t="shared" si="52"/>
        <v>0</v>
      </c>
    </row>
    <row r="96" spans="1:43" x14ac:dyDescent="0.3">
      <c r="A96" t="s">
        <v>256</v>
      </c>
      <c r="B96" t="s">
        <v>257</v>
      </c>
      <c r="C96" t="s">
        <v>43</v>
      </c>
      <c r="D96" t="s">
        <v>44</v>
      </c>
      <c r="E96" s="10" t="s">
        <v>45</v>
      </c>
      <c r="F96" s="10" t="s">
        <v>63</v>
      </c>
      <c r="G96" s="11">
        <v>300</v>
      </c>
      <c r="H96" s="12">
        <v>305.77272727272725</v>
      </c>
      <c r="I96" s="12">
        <f t="shared" si="30"/>
        <v>305.77272727272725</v>
      </c>
      <c r="J96" s="13">
        <f t="shared" si="53"/>
        <v>367</v>
      </c>
      <c r="K96" s="14">
        <f t="shared" si="31"/>
        <v>331</v>
      </c>
      <c r="L96" s="15">
        <v>0</v>
      </c>
      <c r="M96" s="12">
        <v>4.2272727272727266</v>
      </c>
      <c r="N96" s="12">
        <f t="shared" si="32"/>
        <v>4.2272727272727266</v>
      </c>
      <c r="O96" s="13">
        <v>5</v>
      </c>
      <c r="P96" s="16">
        <f t="shared" si="54"/>
        <v>5</v>
      </c>
      <c r="Q96" s="15">
        <f t="shared" si="33"/>
        <v>61.227272727272748</v>
      </c>
      <c r="R96" s="12">
        <f t="shared" si="34"/>
        <v>25.227272727272748</v>
      </c>
      <c r="S96" s="12">
        <f t="shared" si="35"/>
        <v>0.77272727272727337</v>
      </c>
      <c r="T96" s="12">
        <f t="shared" si="36"/>
        <v>0.77272727272727337</v>
      </c>
      <c r="U96" s="17">
        <f t="shared" si="37"/>
        <v>0.20023784748030327</v>
      </c>
      <c r="V96" s="17">
        <f t="shared" si="38"/>
        <v>8.2503344730191941E-2</v>
      </c>
      <c r="W96" s="17">
        <f t="shared" si="39"/>
        <v>0.18279569892473146</v>
      </c>
      <c r="X96" s="17">
        <f t="shared" si="40"/>
        <v>0.18279569892473146</v>
      </c>
      <c r="Y96" s="18">
        <f>+IFERROR(VLOOKUP(A96,[1]Hoja1!$A:$B,2,0),0)</f>
        <v>3</v>
      </c>
      <c r="Z96" s="18">
        <f>+IFERROR(VLOOKUP(A96,[1]Hoja1!$D:$E,2,0),0)</f>
        <v>0</v>
      </c>
      <c r="AA96" s="18">
        <f t="shared" si="41"/>
        <v>8</v>
      </c>
      <c r="AB96" s="18">
        <f t="shared" si="41"/>
        <v>0</v>
      </c>
      <c r="AC96">
        <f t="shared" si="42"/>
        <v>0</v>
      </c>
      <c r="AD96">
        <f t="shared" si="43"/>
        <v>0</v>
      </c>
      <c r="AE96">
        <f t="shared" si="44"/>
        <v>0</v>
      </c>
      <c r="AF96" s="17">
        <f t="shared" si="55"/>
        <v>2.0408163265306121E-2</v>
      </c>
      <c r="AG96" s="17">
        <f t="shared" si="45"/>
        <v>2.1798365122615803E-2</v>
      </c>
      <c r="AH96" s="18">
        <f t="shared" si="46"/>
        <v>16</v>
      </c>
      <c r="AI96" s="18">
        <f t="shared" si="46"/>
        <v>0</v>
      </c>
      <c r="AJ96">
        <f t="shared" si="47"/>
        <v>0</v>
      </c>
      <c r="AK96">
        <f t="shared" si="48"/>
        <v>0</v>
      </c>
      <c r="AL96">
        <f t="shared" si="49"/>
        <v>0</v>
      </c>
      <c r="AM96" s="17">
        <f t="shared" si="50"/>
        <v>2.1390374331550801E-2</v>
      </c>
      <c r="AN96" s="17">
        <f t="shared" si="51"/>
        <v>2.2922636103151862E-2</v>
      </c>
      <c r="AO96" s="18" t="str">
        <f>+IFERROR(VLOOKUP(A96,[2]Rank!$B:$E,4,0),"No Ganador")</f>
        <v>No Ganador</v>
      </c>
      <c r="AP96" s="18">
        <f>+VLOOKUP(D96,[2]Departamento!$A$1:$B$16,2,0)</f>
        <v>6</v>
      </c>
      <c r="AQ96">
        <f t="shared" si="52"/>
        <v>0</v>
      </c>
    </row>
    <row r="97" spans="1:43" x14ac:dyDescent="0.3">
      <c r="A97" t="s">
        <v>258</v>
      </c>
      <c r="B97" t="s">
        <v>259</v>
      </c>
      <c r="C97" t="s">
        <v>43</v>
      </c>
      <c r="D97" t="s">
        <v>99</v>
      </c>
      <c r="E97" s="10" t="s">
        <v>57</v>
      </c>
      <c r="F97" s="10" t="s">
        <v>46</v>
      </c>
      <c r="G97" s="11">
        <v>213</v>
      </c>
      <c r="H97" s="12">
        <v>214.18181818181819</v>
      </c>
      <c r="I97" s="12">
        <f t="shared" si="30"/>
        <v>214.18181818181819</v>
      </c>
      <c r="J97" s="13">
        <f t="shared" si="53"/>
        <v>257</v>
      </c>
      <c r="K97" s="14">
        <f t="shared" si="31"/>
        <v>232</v>
      </c>
      <c r="L97" s="15">
        <v>13</v>
      </c>
      <c r="M97" s="12">
        <v>14.09090909090909</v>
      </c>
      <c r="N97" s="12">
        <f t="shared" si="32"/>
        <v>14.09090909090909</v>
      </c>
      <c r="O97" s="13">
        <v>17</v>
      </c>
      <c r="P97" s="16">
        <f t="shared" si="54"/>
        <v>15</v>
      </c>
      <c r="Q97" s="15">
        <f t="shared" si="33"/>
        <v>42.818181818181813</v>
      </c>
      <c r="R97" s="12">
        <f t="shared" si="34"/>
        <v>17.818181818181813</v>
      </c>
      <c r="S97" s="12">
        <f t="shared" si="35"/>
        <v>2.9090909090909101</v>
      </c>
      <c r="T97" s="12">
        <f t="shared" si="36"/>
        <v>0.90909090909091006</v>
      </c>
      <c r="U97" s="17">
        <f t="shared" si="37"/>
        <v>0.19991511035653642</v>
      </c>
      <c r="V97" s="17">
        <f t="shared" si="38"/>
        <v>8.3191850594227512E-2</v>
      </c>
      <c r="W97" s="17">
        <f t="shared" si="39"/>
        <v>0.20645161290322589</v>
      </c>
      <c r="X97" s="17">
        <f t="shared" si="40"/>
        <v>6.4516129032258229E-2</v>
      </c>
      <c r="Y97" s="18">
        <f>+IFERROR(VLOOKUP(A97,[1]Hoja1!$A:$B,2,0),0)</f>
        <v>84</v>
      </c>
      <c r="Z97" s="18">
        <f>+IFERROR(VLOOKUP(A97,[1]Hoja1!$D:$E,2,0),0)</f>
        <v>8</v>
      </c>
      <c r="AA97" s="18">
        <f t="shared" si="41"/>
        <v>237</v>
      </c>
      <c r="AB97" s="18">
        <f t="shared" si="41"/>
        <v>23</v>
      </c>
      <c r="AC97">
        <f t="shared" si="42"/>
        <v>0</v>
      </c>
      <c r="AD97">
        <f t="shared" si="43"/>
        <v>1</v>
      </c>
      <c r="AE97">
        <f t="shared" si="44"/>
        <v>0</v>
      </c>
      <c r="AF97" s="17">
        <f t="shared" si="55"/>
        <v>1.0292397660818713</v>
      </c>
      <c r="AG97" s="17">
        <f t="shared" si="45"/>
        <v>0.9221789883268483</v>
      </c>
      <c r="AH97" s="18">
        <f t="shared" si="46"/>
        <v>451</v>
      </c>
      <c r="AI97" s="18">
        <f t="shared" si="46"/>
        <v>43</v>
      </c>
      <c r="AJ97">
        <f t="shared" si="47"/>
        <v>0</v>
      </c>
      <c r="AK97">
        <f t="shared" si="48"/>
        <v>1</v>
      </c>
      <c r="AL97">
        <f t="shared" si="49"/>
        <v>0</v>
      </c>
      <c r="AM97" s="17">
        <f t="shared" si="50"/>
        <v>1.0261941448382126</v>
      </c>
      <c r="AN97" s="17">
        <f t="shared" si="51"/>
        <v>0.92229038854805723</v>
      </c>
      <c r="AO97" s="18" t="str">
        <f>+IFERROR(VLOOKUP(A97,[2]Rank!$B:$E,4,0),"No Ganador")</f>
        <v>No Ganador</v>
      </c>
      <c r="AP97" s="18">
        <f>+VLOOKUP(D97,[2]Departamento!$A$1:$B$16,2,0)</f>
        <v>2</v>
      </c>
      <c r="AQ97">
        <f t="shared" si="52"/>
        <v>0</v>
      </c>
    </row>
    <row r="98" spans="1:43" x14ac:dyDescent="0.3">
      <c r="A98" t="s">
        <v>260</v>
      </c>
      <c r="B98" t="s">
        <v>261</v>
      </c>
      <c r="C98" t="s">
        <v>43</v>
      </c>
      <c r="D98" t="s">
        <v>44</v>
      </c>
      <c r="E98" s="10" t="s">
        <v>45</v>
      </c>
      <c r="F98" s="10" t="s">
        <v>63</v>
      </c>
      <c r="G98" s="11">
        <v>177</v>
      </c>
      <c r="H98" s="12">
        <v>180.36363636363637</v>
      </c>
      <c r="I98" s="12">
        <f t="shared" si="30"/>
        <v>180.36363636363637</v>
      </c>
      <c r="J98" s="13">
        <f t="shared" si="53"/>
        <v>216</v>
      </c>
      <c r="K98" s="14">
        <f t="shared" si="31"/>
        <v>195</v>
      </c>
      <c r="L98" s="15">
        <v>7</v>
      </c>
      <c r="M98" s="12">
        <v>2.8181818181818183</v>
      </c>
      <c r="N98" s="12">
        <f t="shared" si="32"/>
        <v>7</v>
      </c>
      <c r="O98" s="13">
        <v>8</v>
      </c>
      <c r="P98" s="16">
        <f t="shared" si="54"/>
        <v>7</v>
      </c>
      <c r="Q98" s="15">
        <f t="shared" si="33"/>
        <v>35.636363636363626</v>
      </c>
      <c r="R98" s="12">
        <f t="shared" si="34"/>
        <v>14.636363636363626</v>
      </c>
      <c r="S98" s="12">
        <f t="shared" si="35"/>
        <v>5.1818181818181817</v>
      </c>
      <c r="T98" s="12">
        <f t="shared" si="36"/>
        <v>4.1818181818181817</v>
      </c>
      <c r="U98" s="17">
        <f t="shared" si="37"/>
        <v>0.19758064516129026</v>
      </c>
      <c r="V98" s="17">
        <f t="shared" si="38"/>
        <v>8.1149193548387011E-2</v>
      </c>
      <c r="W98" s="17">
        <f t="shared" si="39"/>
        <v>1.8387096774193545</v>
      </c>
      <c r="X98" s="17">
        <f t="shared" si="40"/>
        <v>1.4838709677419355</v>
      </c>
      <c r="Y98" s="18">
        <f>+IFERROR(VLOOKUP(A98,[1]Hoja1!$A:$B,2,0),0)</f>
        <v>89</v>
      </c>
      <c r="Z98" s="18">
        <f>+IFERROR(VLOOKUP(A98,[1]Hoja1!$D:$E,2,0),0)</f>
        <v>4</v>
      </c>
      <c r="AA98" s="18">
        <f t="shared" si="41"/>
        <v>251</v>
      </c>
      <c r="AB98" s="18">
        <f t="shared" si="41"/>
        <v>11</v>
      </c>
      <c r="AC98">
        <f t="shared" si="42"/>
        <v>1</v>
      </c>
      <c r="AD98">
        <f t="shared" si="43"/>
        <v>1</v>
      </c>
      <c r="AE98">
        <f t="shared" si="44"/>
        <v>1</v>
      </c>
      <c r="AF98" s="17">
        <f t="shared" si="55"/>
        <v>1.1953125</v>
      </c>
      <c r="AG98" s="17">
        <f t="shared" si="45"/>
        <v>1.162037037037037</v>
      </c>
      <c r="AH98" s="18">
        <f t="shared" si="46"/>
        <v>477</v>
      </c>
      <c r="AI98" s="18">
        <f t="shared" si="46"/>
        <v>21</v>
      </c>
      <c r="AJ98">
        <f t="shared" si="47"/>
        <v>1</v>
      </c>
      <c r="AK98">
        <f t="shared" si="48"/>
        <v>1</v>
      </c>
      <c r="AL98">
        <f t="shared" si="49"/>
        <v>1</v>
      </c>
      <c r="AM98" s="17">
        <f t="shared" si="50"/>
        <v>1.1975308641975309</v>
      </c>
      <c r="AN98" s="17">
        <f t="shared" si="51"/>
        <v>1.1605839416058394</v>
      </c>
      <c r="AO98" s="18">
        <f>+IFERROR(VLOOKUP(A98,[2]Rank!$B:$E,4,0),"No Ganador")</f>
        <v>12</v>
      </c>
      <c r="AP98" s="18">
        <f>+VLOOKUP(D98,[2]Departamento!$A$1:$B$16,2,0)</f>
        <v>6</v>
      </c>
      <c r="AQ98">
        <f t="shared" si="52"/>
        <v>0</v>
      </c>
    </row>
    <row r="99" spans="1:43" x14ac:dyDescent="0.3">
      <c r="A99" t="s">
        <v>262</v>
      </c>
      <c r="B99" t="s">
        <v>263</v>
      </c>
      <c r="C99" t="s">
        <v>43</v>
      </c>
      <c r="D99" t="s">
        <v>119</v>
      </c>
      <c r="E99" s="10" t="s">
        <v>69</v>
      </c>
      <c r="F99" s="10" t="s">
        <v>75</v>
      </c>
      <c r="G99" s="11">
        <v>67</v>
      </c>
      <c r="H99" s="12">
        <v>70.454545454545467</v>
      </c>
      <c r="I99" s="12">
        <f t="shared" si="30"/>
        <v>70.454545454545467</v>
      </c>
      <c r="J99" s="13">
        <f t="shared" si="53"/>
        <v>85</v>
      </c>
      <c r="K99" s="14">
        <f t="shared" si="31"/>
        <v>77</v>
      </c>
      <c r="L99" s="15">
        <v>7</v>
      </c>
      <c r="M99" s="12">
        <v>5.6363636363636367</v>
      </c>
      <c r="N99" s="12">
        <f t="shared" si="32"/>
        <v>7</v>
      </c>
      <c r="O99" s="13">
        <v>8</v>
      </c>
      <c r="P99" s="16">
        <f t="shared" si="54"/>
        <v>7</v>
      </c>
      <c r="Q99" s="15">
        <f t="shared" si="33"/>
        <v>14.545454545454533</v>
      </c>
      <c r="R99" s="12">
        <f t="shared" si="34"/>
        <v>6.5454545454545325</v>
      </c>
      <c r="S99" s="12">
        <f t="shared" si="35"/>
        <v>2.3636363636363633</v>
      </c>
      <c r="T99" s="12">
        <f t="shared" si="36"/>
        <v>1.3636363636363633</v>
      </c>
      <c r="U99" s="17">
        <f t="shared" si="37"/>
        <v>0.20645161290322567</v>
      </c>
      <c r="V99" s="17">
        <f t="shared" si="38"/>
        <v>9.2903225806451495E-2</v>
      </c>
      <c r="W99" s="17">
        <f t="shared" si="39"/>
        <v>0.41935483870967727</v>
      </c>
      <c r="X99" s="17">
        <f t="shared" si="40"/>
        <v>0.24193548387096775</v>
      </c>
      <c r="Y99" s="18">
        <f>+IFERROR(VLOOKUP(A99,[1]Hoja1!$A:$B,2,0),0)</f>
        <v>40</v>
      </c>
      <c r="Z99" s="18">
        <f>+IFERROR(VLOOKUP(A99,[1]Hoja1!$D:$E,2,0),0)</f>
        <v>6</v>
      </c>
      <c r="AA99" s="18">
        <f t="shared" si="41"/>
        <v>113</v>
      </c>
      <c r="AB99" s="18">
        <f t="shared" si="41"/>
        <v>17</v>
      </c>
      <c r="AC99">
        <f t="shared" si="42"/>
        <v>1</v>
      </c>
      <c r="AD99">
        <f t="shared" si="43"/>
        <v>1</v>
      </c>
      <c r="AE99">
        <f t="shared" si="44"/>
        <v>1</v>
      </c>
      <c r="AF99" s="17">
        <f t="shared" si="55"/>
        <v>1.5840000000000001</v>
      </c>
      <c r="AG99" s="17">
        <f t="shared" si="45"/>
        <v>1.3294117647058823</v>
      </c>
      <c r="AH99" s="18">
        <f t="shared" si="46"/>
        <v>215</v>
      </c>
      <c r="AI99" s="18">
        <f t="shared" si="46"/>
        <v>32</v>
      </c>
      <c r="AJ99">
        <f t="shared" si="47"/>
        <v>1</v>
      </c>
      <c r="AK99">
        <f t="shared" si="48"/>
        <v>1</v>
      </c>
      <c r="AL99">
        <f t="shared" si="49"/>
        <v>1</v>
      </c>
      <c r="AM99" s="17">
        <f t="shared" si="50"/>
        <v>1.5822784810126582</v>
      </c>
      <c r="AN99" s="17">
        <f t="shared" si="51"/>
        <v>1.3271604938271604</v>
      </c>
      <c r="AO99" s="18">
        <f>+IFERROR(VLOOKUP(A99,[2]Rank!$B:$E,4,0),"No Ganador")</f>
        <v>1</v>
      </c>
      <c r="AP99" s="18">
        <f>+VLOOKUP(D99,[2]Departamento!$A$1:$B$16,2,0)</f>
        <v>2</v>
      </c>
      <c r="AQ99">
        <f t="shared" si="52"/>
        <v>1</v>
      </c>
    </row>
    <row r="100" spans="1:43" x14ac:dyDescent="0.3">
      <c r="A100" t="s">
        <v>264</v>
      </c>
      <c r="B100" t="s">
        <v>265</v>
      </c>
      <c r="C100" t="s">
        <v>43</v>
      </c>
      <c r="D100" t="s">
        <v>90</v>
      </c>
      <c r="E100" s="10" t="s">
        <v>69</v>
      </c>
      <c r="F100" s="10" t="s">
        <v>75</v>
      </c>
      <c r="G100" s="11">
        <v>73</v>
      </c>
      <c r="H100" s="12">
        <v>77.5</v>
      </c>
      <c r="I100" s="12">
        <f t="shared" si="30"/>
        <v>77.5</v>
      </c>
      <c r="J100" s="13">
        <f t="shared" si="53"/>
        <v>93</v>
      </c>
      <c r="K100" s="14">
        <f t="shared" si="31"/>
        <v>84</v>
      </c>
      <c r="L100" s="15">
        <v>6</v>
      </c>
      <c r="M100" s="12">
        <v>7.045454545454545</v>
      </c>
      <c r="N100" s="12">
        <f t="shared" si="32"/>
        <v>7.045454545454545</v>
      </c>
      <c r="O100" s="13">
        <v>8</v>
      </c>
      <c r="P100" s="16">
        <f t="shared" si="54"/>
        <v>7</v>
      </c>
      <c r="Q100" s="15">
        <f t="shared" si="33"/>
        <v>15.5</v>
      </c>
      <c r="R100" s="12">
        <f t="shared" si="34"/>
        <v>6.5</v>
      </c>
      <c r="S100" s="12">
        <f t="shared" si="35"/>
        <v>0.95454545454545503</v>
      </c>
      <c r="T100" s="12">
        <f t="shared" si="36"/>
        <v>-4.545454545454497E-2</v>
      </c>
      <c r="U100" s="17">
        <f t="shared" si="37"/>
        <v>0.19999999999999996</v>
      </c>
      <c r="V100" s="17">
        <f t="shared" si="38"/>
        <v>8.3870967741935587E-2</v>
      </c>
      <c r="W100" s="17">
        <f t="shared" si="39"/>
        <v>0.13548387096774195</v>
      </c>
      <c r="X100" s="17">
        <f t="shared" si="40"/>
        <v>-6.4516129032257119E-3</v>
      </c>
      <c r="Y100" s="18">
        <f>+IFERROR(VLOOKUP(A100,[1]Hoja1!$A:$B,2,0),0)</f>
        <v>26</v>
      </c>
      <c r="Z100" s="18">
        <f>+IFERROR(VLOOKUP(A100,[1]Hoja1!$D:$E,2,0),0)</f>
        <v>5</v>
      </c>
      <c r="AA100" s="18">
        <f t="shared" si="41"/>
        <v>73</v>
      </c>
      <c r="AB100" s="18">
        <f t="shared" si="41"/>
        <v>14</v>
      </c>
      <c r="AC100">
        <f t="shared" si="42"/>
        <v>0</v>
      </c>
      <c r="AD100">
        <f t="shared" si="43"/>
        <v>1</v>
      </c>
      <c r="AE100">
        <f t="shared" si="44"/>
        <v>0</v>
      </c>
      <c r="AF100" s="17">
        <f t="shared" si="55"/>
        <v>1.0751879699248121</v>
      </c>
      <c r="AG100" s="17">
        <f t="shared" si="45"/>
        <v>0.78494623655913975</v>
      </c>
      <c r="AH100" s="18">
        <f t="shared" si="46"/>
        <v>139</v>
      </c>
      <c r="AI100" s="18">
        <f t="shared" si="46"/>
        <v>27</v>
      </c>
      <c r="AJ100">
        <f t="shared" si="47"/>
        <v>0</v>
      </c>
      <c r="AK100">
        <f t="shared" si="48"/>
        <v>1</v>
      </c>
      <c r="AL100">
        <f t="shared" si="49"/>
        <v>0</v>
      </c>
      <c r="AM100" s="17">
        <f t="shared" si="50"/>
        <v>1.0873015873015872</v>
      </c>
      <c r="AN100" s="17">
        <f t="shared" si="51"/>
        <v>0.78531073446327682</v>
      </c>
      <c r="AO100" s="18" t="str">
        <f>+IFERROR(VLOOKUP(A100,[2]Rank!$B:$E,4,0),"No Ganador")</f>
        <v>No Ganador</v>
      </c>
      <c r="AP100" s="18">
        <f>+VLOOKUP(D100,[2]Departamento!$A$1:$B$16,2,0)</f>
        <v>2</v>
      </c>
      <c r="AQ100">
        <f t="shared" si="52"/>
        <v>0</v>
      </c>
    </row>
    <row r="101" spans="1:43" x14ac:dyDescent="0.3">
      <c r="A101" t="s">
        <v>266</v>
      </c>
      <c r="B101" t="s">
        <v>267</v>
      </c>
      <c r="C101" t="s">
        <v>43</v>
      </c>
      <c r="D101" t="s">
        <v>182</v>
      </c>
      <c r="E101" s="10" t="s">
        <v>183</v>
      </c>
      <c r="F101" s="10" t="s">
        <v>51</v>
      </c>
      <c r="G101" s="11">
        <v>190</v>
      </c>
      <c r="H101" s="12">
        <v>198.68181818181819</v>
      </c>
      <c r="I101" s="12">
        <f t="shared" si="30"/>
        <v>198.68181818181819</v>
      </c>
      <c r="J101" s="13">
        <f t="shared" si="53"/>
        <v>238</v>
      </c>
      <c r="K101" s="14">
        <f t="shared" si="31"/>
        <v>215</v>
      </c>
      <c r="L101" s="15">
        <v>0</v>
      </c>
      <c r="M101" s="12">
        <v>2.8181818181818183</v>
      </c>
      <c r="N101" s="12">
        <f t="shared" si="32"/>
        <v>2.8181818181818183</v>
      </c>
      <c r="O101" s="13">
        <v>4</v>
      </c>
      <c r="P101" s="16">
        <f t="shared" si="54"/>
        <v>4</v>
      </c>
      <c r="Q101" s="15">
        <f t="shared" si="33"/>
        <v>39.318181818181813</v>
      </c>
      <c r="R101" s="12">
        <f t="shared" si="34"/>
        <v>16.318181818181813</v>
      </c>
      <c r="S101" s="12">
        <f t="shared" si="35"/>
        <v>1.1818181818181817</v>
      </c>
      <c r="T101" s="12">
        <f t="shared" si="36"/>
        <v>1.1818181818181817</v>
      </c>
      <c r="U101" s="17">
        <f t="shared" si="37"/>
        <v>0.19789521848547231</v>
      </c>
      <c r="V101" s="17">
        <f t="shared" si="38"/>
        <v>8.2132235186456182E-2</v>
      </c>
      <c r="W101" s="17">
        <f t="shared" si="39"/>
        <v>0.41935483870967727</v>
      </c>
      <c r="X101" s="17">
        <f t="shared" si="40"/>
        <v>0.41935483870967727</v>
      </c>
      <c r="Y101" s="18">
        <f>+IFERROR(VLOOKUP(A101,[1]Hoja1!$A:$B,2,0),0)</f>
        <v>45</v>
      </c>
      <c r="Z101" s="18">
        <f>+IFERROR(VLOOKUP(A101,[1]Hoja1!$D:$E,2,0),0)</f>
        <v>4</v>
      </c>
      <c r="AA101" s="18">
        <f t="shared" si="41"/>
        <v>127</v>
      </c>
      <c r="AB101" s="18">
        <f t="shared" si="41"/>
        <v>11</v>
      </c>
      <c r="AC101">
        <f t="shared" si="42"/>
        <v>0</v>
      </c>
      <c r="AD101">
        <f t="shared" si="43"/>
        <v>1</v>
      </c>
      <c r="AE101">
        <f t="shared" si="44"/>
        <v>0</v>
      </c>
      <c r="AF101" s="17">
        <f t="shared" si="55"/>
        <v>0.70542635658914732</v>
      </c>
      <c r="AG101" s="17">
        <f t="shared" si="45"/>
        <v>0.53361344537815125</v>
      </c>
      <c r="AH101" s="18">
        <f t="shared" si="46"/>
        <v>241</v>
      </c>
      <c r="AI101" s="18">
        <f t="shared" si="46"/>
        <v>21</v>
      </c>
      <c r="AJ101">
        <f t="shared" si="47"/>
        <v>0</v>
      </c>
      <c r="AK101">
        <f t="shared" si="48"/>
        <v>1</v>
      </c>
      <c r="AL101">
        <f t="shared" si="49"/>
        <v>0</v>
      </c>
      <c r="AM101" s="17">
        <f t="shared" si="50"/>
        <v>0.70182555780933065</v>
      </c>
      <c r="AN101" s="17">
        <f t="shared" si="51"/>
        <v>0.53200883002207511</v>
      </c>
      <c r="AO101" s="18" t="str">
        <f>+IFERROR(VLOOKUP(A101,[2]Rank!$B:$E,4,0),"No Ganador")</f>
        <v>No Ganador</v>
      </c>
      <c r="AP101" s="18">
        <f>+VLOOKUP(D101,[2]Departamento!$A$1:$B$16,2,0)</f>
        <v>1</v>
      </c>
      <c r="AQ101">
        <f t="shared" si="52"/>
        <v>0</v>
      </c>
    </row>
    <row r="102" spans="1:43" x14ac:dyDescent="0.3">
      <c r="A102" t="s">
        <v>268</v>
      </c>
      <c r="B102" t="s">
        <v>269</v>
      </c>
      <c r="C102" t="s">
        <v>43</v>
      </c>
      <c r="D102" t="s">
        <v>74</v>
      </c>
      <c r="E102" s="10" t="s">
        <v>57</v>
      </c>
      <c r="F102" s="10" t="s">
        <v>75</v>
      </c>
      <c r="G102" s="11">
        <v>164</v>
      </c>
      <c r="H102" s="12">
        <v>171.90909090909093</v>
      </c>
      <c r="I102" s="12">
        <f t="shared" si="30"/>
        <v>171.90909090909093</v>
      </c>
      <c r="J102" s="13">
        <f t="shared" si="53"/>
        <v>206</v>
      </c>
      <c r="K102" s="14">
        <f t="shared" si="31"/>
        <v>186</v>
      </c>
      <c r="L102" s="15">
        <v>7</v>
      </c>
      <c r="M102" s="12">
        <v>2.8181818181818183</v>
      </c>
      <c r="N102" s="12">
        <f t="shared" si="32"/>
        <v>7</v>
      </c>
      <c r="O102" s="13">
        <v>8</v>
      </c>
      <c r="P102" s="16">
        <f t="shared" si="54"/>
        <v>7</v>
      </c>
      <c r="Q102" s="15">
        <f t="shared" si="33"/>
        <v>34.090909090909065</v>
      </c>
      <c r="R102" s="12">
        <f t="shared" si="34"/>
        <v>14.090909090909065</v>
      </c>
      <c r="S102" s="12">
        <f t="shared" si="35"/>
        <v>5.1818181818181817</v>
      </c>
      <c r="T102" s="12">
        <f t="shared" si="36"/>
        <v>4.1818181818181817</v>
      </c>
      <c r="U102" s="17">
        <f t="shared" si="37"/>
        <v>0.1983077736647274</v>
      </c>
      <c r="V102" s="17">
        <f t="shared" si="38"/>
        <v>8.1967213114753967E-2</v>
      </c>
      <c r="W102" s="17">
        <f t="shared" si="39"/>
        <v>1.8387096774193545</v>
      </c>
      <c r="X102" s="17">
        <f t="shared" si="40"/>
        <v>1.4838709677419355</v>
      </c>
      <c r="Y102" s="18">
        <f>+IFERROR(VLOOKUP(A102,[1]Hoja1!$A:$B,2,0),0)</f>
        <v>13</v>
      </c>
      <c r="Z102" s="18">
        <f>+IFERROR(VLOOKUP(A102,[1]Hoja1!$D:$E,2,0),0)</f>
        <v>0</v>
      </c>
      <c r="AA102" s="18">
        <f t="shared" si="41"/>
        <v>37</v>
      </c>
      <c r="AB102" s="18">
        <f t="shared" si="41"/>
        <v>0</v>
      </c>
      <c r="AC102">
        <f t="shared" si="42"/>
        <v>0</v>
      </c>
      <c r="AD102">
        <f t="shared" si="43"/>
        <v>0</v>
      </c>
      <c r="AE102">
        <f t="shared" si="44"/>
        <v>0</v>
      </c>
      <c r="AF102" s="17">
        <f t="shared" si="55"/>
        <v>0.15040650406504066</v>
      </c>
      <c r="AG102" s="17">
        <f t="shared" si="45"/>
        <v>0.1796116504854369</v>
      </c>
      <c r="AH102" s="18">
        <f t="shared" si="46"/>
        <v>70</v>
      </c>
      <c r="AI102" s="18">
        <f t="shared" si="46"/>
        <v>0</v>
      </c>
      <c r="AJ102">
        <f t="shared" si="47"/>
        <v>0</v>
      </c>
      <c r="AK102">
        <f t="shared" si="48"/>
        <v>0</v>
      </c>
      <c r="AL102">
        <f t="shared" si="49"/>
        <v>0</v>
      </c>
      <c r="AM102" s="17">
        <f t="shared" si="50"/>
        <v>0.14989293361884368</v>
      </c>
      <c r="AN102" s="17">
        <f t="shared" si="51"/>
        <v>0.17857142857142858</v>
      </c>
      <c r="AO102" s="18" t="str">
        <f>+IFERROR(VLOOKUP(A102,[2]Rank!$B:$E,4,0),"No Ganador")</f>
        <v>No Ganador</v>
      </c>
      <c r="AP102" s="18">
        <f>+VLOOKUP(D102,[2]Departamento!$A$1:$B$16,2,0)</f>
        <v>2</v>
      </c>
      <c r="AQ102">
        <f t="shared" si="52"/>
        <v>0</v>
      </c>
    </row>
    <row r="103" spans="1:43" x14ac:dyDescent="0.3">
      <c r="A103" t="s">
        <v>270</v>
      </c>
      <c r="B103" t="s">
        <v>271</v>
      </c>
      <c r="C103" t="s">
        <v>43</v>
      </c>
      <c r="D103" t="s">
        <v>44</v>
      </c>
      <c r="E103" s="10" t="s">
        <v>45</v>
      </c>
      <c r="F103" s="10" t="s">
        <v>63</v>
      </c>
      <c r="G103" s="11">
        <v>127</v>
      </c>
      <c r="H103" s="12">
        <v>135.27272727272725</v>
      </c>
      <c r="I103" s="12">
        <f t="shared" si="30"/>
        <v>135.27272727272725</v>
      </c>
      <c r="J103" s="13">
        <f t="shared" si="53"/>
        <v>162</v>
      </c>
      <c r="K103" s="14">
        <f t="shared" si="31"/>
        <v>146</v>
      </c>
      <c r="L103" s="15">
        <v>1</v>
      </c>
      <c r="M103" s="12">
        <v>1.4090909090909092</v>
      </c>
      <c r="N103" s="12">
        <f t="shared" si="32"/>
        <v>1.4090909090909092</v>
      </c>
      <c r="O103" s="13">
        <v>2</v>
      </c>
      <c r="P103" s="16">
        <f t="shared" si="54"/>
        <v>2</v>
      </c>
      <c r="Q103" s="15">
        <f t="shared" si="33"/>
        <v>26.727272727272748</v>
      </c>
      <c r="R103" s="12">
        <f t="shared" si="34"/>
        <v>10.727272727272748</v>
      </c>
      <c r="S103" s="12">
        <f t="shared" si="35"/>
        <v>0.59090909090909083</v>
      </c>
      <c r="T103" s="12">
        <f t="shared" si="36"/>
        <v>0.59090909090909083</v>
      </c>
      <c r="U103" s="17">
        <f t="shared" si="37"/>
        <v>0.19758064516129048</v>
      </c>
      <c r="V103" s="17">
        <f t="shared" si="38"/>
        <v>7.9301075268817467E-2</v>
      </c>
      <c r="W103" s="17">
        <f t="shared" si="39"/>
        <v>0.41935483870967727</v>
      </c>
      <c r="X103" s="17">
        <f t="shared" si="40"/>
        <v>0.41935483870967727</v>
      </c>
      <c r="Y103" s="18">
        <f>+IFERROR(VLOOKUP(A103,[1]Hoja1!$A:$B,2,0),0)</f>
        <v>22</v>
      </c>
      <c r="Z103" s="18">
        <f>+IFERROR(VLOOKUP(A103,[1]Hoja1!$D:$E,2,0),0)</f>
        <v>0</v>
      </c>
      <c r="AA103" s="18">
        <f t="shared" si="41"/>
        <v>62</v>
      </c>
      <c r="AB103" s="18">
        <f t="shared" si="41"/>
        <v>0</v>
      </c>
      <c r="AC103">
        <f t="shared" si="42"/>
        <v>0</v>
      </c>
      <c r="AD103">
        <f t="shared" si="43"/>
        <v>0</v>
      </c>
      <c r="AE103">
        <f t="shared" si="44"/>
        <v>0</v>
      </c>
      <c r="AF103" s="17">
        <f t="shared" si="55"/>
        <v>0.36046511627906974</v>
      </c>
      <c r="AG103" s="17">
        <f t="shared" si="45"/>
        <v>0.38271604938271603</v>
      </c>
      <c r="AH103" s="18">
        <f t="shared" si="46"/>
        <v>118</v>
      </c>
      <c r="AI103" s="18">
        <f t="shared" si="46"/>
        <v>0</v>
      </c>
      <c r="AJ103">
        <f t="shared" si="47"/>
        <v>0</v>
      </c>
      <c r="AK103">
        <f t="shared" si="48"/>
        <v>0</v>
      </c>
      <c r="AL103">
        <f t="shared" si="49"/>
        <v>0</v>
      </c>
      <c r="AM103" s="17">
        <f t="shared" si="50"/>
        <v>0.3597560975609756</v>
      </c>
      <c r="AN103" s="17">
        <f t="shared" si="51"/>
        <v>0.38311688311688313</v>
      </c>
      <c r="AO103" s="18" t="str">
        <f>+IFERROR(VLOOKUP(A103,[2]Rank!$B:$E,4,0),"No Ganador")</f>
        <v>No Ganador</v>
      </c>
      <c r="AP103" s="18">
        <f>+VLOOKUP(D103,[2]Departamento!$A$1:$B$16,2,0)</f>
        <v>6</v>
      </c>
      <c r="AQ103">
        <f t="shared" si="52"/>
        <v>0</v>
      </c>
    </row>
    <row r="104" spans="1:43" x14ac:dyDescent="0.3">
      <c r="A104" t="s">
        <v>272</v>
      </c>
      <c r="B104" t="s">
        <v>273</v>
      </c>
      <c r="C104" t="s">
        <v>43</v>
      </c>
      <c r="D104" t="s">
        <v>78</v>
      </c>
      <c r="E104" s="10" t="s">
        <v>50</v>
      </c>
      <c r="F104" s="10" t="s">
        <v>51</v>
      </c>
      <c r="G104" s="11">
        <v>62</v>
      </c>
      <c r="H104" s="12">
        <v>71.863636363636374</v>
      </c>
      <c r="I104" s="12">
        <f t="shared" si="30"/>
        <v>71.863636363636374</v>
      </c>
      <c r="J104" s="13">
        <f t="shared" si="53"/>
        <v>86</v>
      </c>
      <c r="K104" s="14">
        <f t="shared" si="31"/>
        <v>78</v>
      </c>
      <c r="L104" s="15">
        <v>22</v>
      </c>
      <c r="M104" s="12">
        <v>19.727272727272727</v>
      </c>
      <c r="N104" s="12">
        <f t="shared" si="32"/>
        <v>22</v>
      </c>
      <c r="O104" s="13">
        <v>26</v>
      </c>
      <c r="P104" s="16">
        <f t="shared" si="54"/>
        <v>23</v>
      </c>
      <c r="Q104" s="15">
        <f t="shared" si="33"/>
        <v>14.136363636363626</v>
      </c>
      <c r="R104" s="12">
        <f t="shared" si="34"/>
        <v>6.136363636363626</v>
      </c>
      <c r="S104" s="12">
        <f t="shared" si="35"/>
        <v>6.2727272727272734</v>
      </c>
      <c r="T104" s="12">
        <f t="shared" si="36"/>
        <v>3.2727272727272734</v>
      </c>
      <c r="U104" s="17">
        <f t="shared" si="37"/>
        <v>0.19671094244149256</v>
      </c>
      <c r="V104" s="17">
        <f t="shared" si="38"/>
        <v>8.5388994307400212E-2</v>
      </c>
      <c r="W104" s="17">
        <f t="shared" si="39"/>
        <v>0.31797235023041481</v>
      </c>
      <c r="X104" s="17">
        <f t="shared" si="40"/>
        <v>0.16589861751152069</v>
      </c>
      <c r="Y104" s="18">
        <f>+IFERROR(VLOOKUP(A104,[1]Hoja1!$A:$B,2,0),0)</f>
        <v>21</v>
      </c>
      <c r="Z104" s="18">
        <f>+IFERROR(VLOOKUP(A104,[1]Hoja1!$D:$E,2,0),0)</f>
        <v>6</v>
      </c>
      <c r="AA104" s="18">
        <f t="shared" si="41"/>
        <v>59</v>
      </c>
      <c r="AB104" s="18">
        <f t="shared" si="41"/>
        <v>17</v>
      </c>
      <c r="AC104">
        <f t="shared" si="42"/>
        <v>0</v>
      </c>
      <c r="AD104">
        <f t="shared" si="43"/>
        <v>0</v>
      </c>
      <c r="AE104">
        <f t="shared" si="44"/>
        <v>0</v>
      </c>
      <c r="AF104" s="17">
        <f t="shared" si="55"/>
        <v>0.66666666666666663</v>
      </c>
      <c r="AG104" s="17">
        <f t="shared" si="45"/>
        <v>0.68604651162790697</v>
      </c>
      <c r="AH104" s="18">
        <f t="shared" si="46"/>
        <v>113</v>
      </c>
      <c r="AI104" s="18">
        <f t="shared" si="46"/>
        <v>32</v>
      </c>
      <c r="AJ104">
        <f t="shared" si="47"/>
        <v>0</v>
      </c>
      <c r="AK104">
        <f t="shared" si="48"/>
        <v>0</v>
      </c>
      <c r="AL104">
        <f t="shared" si="49"/>
        <v>0</v>
      </c>
      <c r="AM104" s="17">
        <f t="shared" si="50"/>
        <v>0.66748166259168706</v>
      </c>
      <c r="AN104" s="17">
        <f t="shared" si="51"/>
        <v>0.68902439024390238</v>
      </c>
      <c r="AO104" s="18" t="str">
        <f>+IFERROR(VLOOKUP(A104,[2]Rank!$B:$E,4,0),"No Ganador")</f>
        <v>No Ganador</v>
      </c>
      <c r="AP104" s="18">
        <f>+VLOOKUP(D104,[2]Departamento!$A$1:$B$16,2,0)</f>
        <v>1</v>
      </c>
      <c r="AQ104">
        <f t="shared" si="52"/>
        <v>0</v>
      </c>
    </row>
    <row r="105" spans="1:43" x14ac:dyDescent="0.3">
      <c r="A105" t="s">
        <v>274</v>
      </c>
      <c r="B105" t="s">
        <v>275</v>
      </c>
      <c r="C105" t="s">
        <v>43</v>
      </c>
      <c r="D105" t="s">
        <v>113</v>
      </c>
      <c r="E105" s="10" t="s">
        <v>69</v>
      </c>
      <c r="F105" s="10" t="s">
        <v>114</v>
      </c>
      <c r="G105" s="11">
        <v>48</v>
      </c>
      <c r="H105" s="12">
        <v>56.36363636363636</v>
      </c>
      <c r="I105" s="12">
        <f t="shared" si="30"/>
        <v>56.36363636363636</v>
      </c>
      <c r="J105" s="13">
        <f t="shared" si="53"/>
        <v>68</v>
      </c>
      <c r="K105" s="14">
        <f t="shared" si="31"/>
        <v>61</v>
      </c>
      <c r="L105" s="15">
        <v>5</v>
      </c>
      <c r="M105" s="12">
        <v>5.6363636363636367</v>
      </c>
      <c r="N105" s="12">
        <f t="shared" si="32"/>
        <v>5.6363636363636367</v>
      </c>
      <c r="O105" s="13">
        <v>7</v>
      </c>
      <c r="P105" s="16">
        <f t="shared" si="54"/>
        <v>6</v>
      </c>
      <c r="Q105" s="15">
        <f t="shared" si="33"/>
        <v>11.63636363636364</v>
      </c>
      <c r="R105" s="12">
        <f t="shared" si="34"/>
        <v>4.6363636363636402</v>
      </c>
      <c r="S105" s="12">
        <f t="shared" si="35"/>
        <v>1.3636363636363633</v>
      </c>
      <c r="T105" s="12">
        <f t="shared" si="36"/>
        <v>0.36363636363636331</v>
      </c>
      <c r="U105" s="17">
        <f t="shared" si="37"/>
        <v>0.20645161290322589</v>
      </c>
      <c r="V105" s="17">
        <f t="shared" si="38"/>
        <v>8.2258064516129048E-2</v>
      </c>
      <c r="W105" s="17">
        <f t="shared" si="39"/>
        <v>0.24193548387096775</v>
      </c>
      <c r="X105" s="17">
        <f t="shared" si="40"/>
        <v>6.4516129032258007E-2</v>
      </c>
      <c r="Y105" s="18">
        <f>+IFERROR(VLOOKUP(A105,[1]Hoja1!$A:$B,2,0),0)</f>
        <v>23</v>
      </c>
      <c r="Z105" s="18">
        <f>+IFERROR(VLOOKUP(A105,[1]Hoja1!$D:$E,2,0),0)</f>
        <v>3</v>
      </c>
      <c r="AA105" s="18">
        <f t="shared" si="41"/>
        <v>65</v>
      </c>
      <c r="AB105" s="18">
        <f t="shared" si="41"/>
        <v>8</v>
      </c>
      <c r="AC105">
        <f t="shared" si="42"/>
        <v>0</v>
      </c>
      <c r="AD105">
        <f t="shared" si="43"/>
        <v>1</v>
      </c>
      <c r="AE105">
        <f t="shared" si="44"/>
        <v>0</v>
      </c>
      <c r="AF105" s="17">
        <f t="shared" si="55"/>
        <v>1.0194174757281553</v>
      </c>
      <c r="AG105" s="17">
        <f t="shared" si="45"/>
        <v>0.95588235294117652</v>
      </c>
      <c r="AH105" s="18">
        <f t="shared" si="46"/>
        <v>123</v>
      </c>
      <c r="AI105" s="18">
        <f t="shared" si="46"/>
        <v>16</v>
      </c>
      <c r="AJ105">
        <f t="shared" si="47"/>
        <v>0</v>
      </c>
      <c r="AK105">
        <f t="shared" si="48"/>
        <v>1</v>
      </c>
      <c r="AL105">
        <f t="shared" si="49"/>
        <v>0</v>
      </c>
      <c r="AM105" s="17">
        <f t="shared" si="50"/>
        <v>1.0463917525773196</v>
      </c>
      <c r="AN105" s="17">
        <f t="shared" si="51"/>
        <v>0.95348837209302328</v>
      </c>
      <c r="AO105" s="18" t="str">
        <f>+IFERROR(VLOOKUP(A105,[2]Rank!$B:$E,4,0),"No Ganador")</f>
        <v>No Ganador</v>
      </c>
      <c r="AP105" s="18">
        <f>+VLOOKUP(D105,[2]Departamento!$A$1:$B$16,2,0)</f>
        <v>1</v>
      </c>
      <c r="AQ105">
        <f t="shared" si="52"/>
        <v>0</v>
      </c>
    </row>
    <row r="106" spans="1:43" x14ac:dyDescent="0.3">
      <c r="A106" t="s">
        <v>276</v>
      </c>
      <c r="B106" t="s">
        <v>277</v>
      </c>
      <c r="C106" t="s">
        <v>43</v>
      </c>
      <c r="D106" t="s">
        <v>99</v>
      </c>
      <c r="E106" s="10" t="s">
        <v>57</v>
      </c>
      <c r="F106" s="10" t="s">
        <v>46</v>
      </c>
      <c r="G106" s="11">
        <v>114</v>
      </c>
      <c r="H106" s="12">
        <v>124</v>
      </c>
      <c r="I106" s="12">
        <f t="shared" si="30"/>
        <v>124</v>
      </c>
      <c r="J106" s="13">
        <f t="shared" si="53"/>
        <v>149</v>
      </c>
      <c r="K106" s="14">
        <f t="shared" si="31"/>
        <v>135</v>
      </c>
      <c r="L106" s="15">
        <v>2</v>
      </c>
      <c r="M106" s="12">
        <v>2.8181818181818183</v>
      </c>
      <c r="N106" s="12">
        <f t="shared" si="32"/>
        <v>2.8181818181818183</v>
      </c>
      <c r="O106" s="13">
        <v>4</v>
      </c>
      <c r="P106" s="16">
        <f t="shared" si="54"/>
        <v>4</v>
      </c>
      <c r="Q106" s="15">
        <f t="shared" si="33"/>
        <v>25</v>
      </c>
      <c r="R106" s="12">
        <f t="shared" si="34"/>
        <v>11</v>
      </c>
      <c r="S106" s="12">
        <f t="shared" si="35"/>
        <v>1.1818181818181817</v>
      </c>
      <c r="T106" s="12">
        <f t="shared" si="36"/>
        <v>1.1818181818181817</v>
      </c>
      <c r="U106" s="17">
        <f t="shared" si="37"/>
        <v>0.20161290322580649</v>
      </c>
      <c r="V106" s="17">
        <f t="shared" si="38"/>
        <v>8.870967741935476E-2</v>
      </c>
      <c r="W106" s="17">
        <f t="shared" si="39"/>
        <v>0.41935483870967727</v>
      </c>
      <c r="X106" s="17">
        <f t="shared" si="40"/>
        <v>0.41935483870967727</v>
      </c>
      <c r="Y106" s="18">
        <f>+IFERROR(VLOOKUP(A106,[1]Hoja1!$A:$B,2,0),0)</f>
        <v>14</v>
      </c>
      <c r="Z106" s="18">
        <f>+IFERROR(VLOOKUP(A106,[1]Hoja1!$D:$E,2,0),0)</f>
        <v>7</v>
      </c>
      <c r="AA106" s="18">
        <f t="shared" si="41"/>
        <v>39</v>
      </c>
      <c r="AB106" s="18">
        <f t="shared" si="41"/>
        <v>20</v>
      </c>
      <c r="AC106">
        <f t="shared" si="42"/>
        <v>0</v>
      </c>
      <c r="AD106">
        <f t="shared" si="43"/>
        <v>1</v>
      </c>
      <c r="AE106">
        <f t="shared" si="44"/>
        <v>0</v>
      </c>
      <c r="AF106" s="17">
        <f t="shared" si="55"/>
        <v>0.8224852071005917</v>
      </c>
      <c r="AG106" s="17">
        <f t="shared" si="45"/>
        <v>0.26174496644295303</v>
      </c>
      <c r="AH106" s="18">
        <f t="shared" si="46"/>
        <v>75</v>
      </c>
      <c r="AI106" s="18">
        <f t="shared" si="46"/>
        <v>38</v>
      </c>
      <c r="AJ106">
        <f t="shared" si="47"/>
        <v>0</v>
      </c>
      <c r="AK106">
        <f t="shared" si="48"/>
        <v>1</v>
      </c>
      <c r="AL106">
        <f t="shared" si="49"/>
        <v>0</v>
      </c>
      <c r="AM106" s="17">
        <f t="shared" si="50"/>
        <v>0.8179012345679012</v>
      </c>
      <c r="AN106" s="17">
        <f t="shared" si="51"/>
        <v>0.2640845070422535</v>
      </c>
      <c r="AO106" s="18" t="str">
        <f>+IFERROR(VLOOKUP(A106,[2]Rank!$B:$E,4,0),"No Ganador")</f>
        <v>No Ganador</v>
      </c>
      <c r="AP106" s="18">
        <f>+VLOOKUP(D106,[2]Departamento!$A$1:$B$16,2,0)</f>
        <v>2</v>
      </c>
      <c r="AQ106">
        <f t="shared" si="52"/>
        <v>0</v>
      </c>
    </row>
    <row r="107" spans="1:43" x14ac:dyDescent="0.3">
      <c r="A107" t="s">
        <v>278</v>
      </c>
      <c r="B107" t="s">
        <v>279</v>
      </c>
      <c r="C107" t="s">
        <v>43</v>
      </c>
      <c r="D107" t="s">
        <v>44</v>
      </c>
      <c r="E107" s="10" t="s">
        <v>45</v>
      </c>
      <c r="F107" s="10" t="s">
        <v>63</v>
      </c>
      <c r="G107" s="11">
        <v>93</v>
      </c>
      <c r="H107" s="12">
        <v>105.68181818181819</v>
      </c>
      <c r="I107" s="12">
        <f t="shared" si="30"/>
        <v>105.68181818181819</v>
      </c>
      <c r="J107" s="13">
        <f t="shared" si="53"/>
        <v>127</v>
      </c>
      <c r="K107" s="14">
        <f t="shared" si="31"/>
        <v>115</v>
      </c>
      <c r="L107" s="15">
        <v>3</v>
      </c>
      <c r="M107" s="12">
        <v>5.6363636363636367</v>
      </c>
      <c r="N107" s="12">
        <f t="shared" si="32"/>
        <v>5.6363636363636367</v>
      </c>
      <c r="O107" s="13">
        <v>7</v>
      </c>
      <c r="P107" s="16">
        <f t="shared" si="54"/>
        <v>6</v>
      </c>
      <c r="Q107" s="15">
        <f t="shared" si="33"/>
        <v>21.318181818181813</v>
      </c>
      <c r="R107" s="12">
        <f t="shared" si="34"/>
        <v>9.318181818181813</v>
      </c>
      <c r="S107" s="12">
        <f t="shared" si="35"/>
        <v>1.3636363636363633</v>
      </c>
      <c r="T107" s="12">
        <f t="shared" si="36"/>
        <v>0.36363636363636331</v>
      </c>
      <c r="U107" s="17">
        <f t="shared" si="37"/>
        <v>0.20172043010752683</v>
      </c>
      <c r="V107" s="17">
        <f t="shared" si="38"/>
        <v>8.8172043010752654E-2</v>
      </c>
      <c r="W107" s="17">
        <f t="shared" si="39"/>
        <v>0.24193548387096775</v>
      </c>
      <c r="X107" s="17">
        <f t="shared" si="40"/>
        <v>6.4516129032258007E-2</v>
      </c>
      <c r="Y107" s="18">
        <f>+IFERROR(VLOOKUP(A107,[1]Hoja1!$A:$B,2,0),0)</f>
        <v>36</v>
      </c>
      <c r="Z107" s="18">
        <f>+IFERROR(VLOOKUP(A107,[1]Hoja1!$D:$E,2,0),0)</f>
        <v>2</v>
      </c>
      <c r="AA107" s="18">
        <f t="shared" si="41"/>
        <v>101</v>
      </c>
      <c r="AB107" s="18">
        <f t="shared" si="41"/>
        <v>6</v>
      </c>
      <c r="AC107">
        <f t="shared" si="42"/>
        <v>0</v>
      </c>
      <c r="AD107">
        <f t="shared" si="43"/>
        <v>0</v>
      </c>
      <c r="AE107">
        <f t="shared" si="44"/>
        <v>0</v>
      </c>
      <c r="AF107" s="17">
        <f t="shared" si="55"/>
        <v>0.80864197530864201</v>
      </c>
      <c r="AG107" s="17">
        <f t="shared" si="45"/>
        <v>0.79527559055118113</v>
      </c>
      <c r="AH107" s="18">
        <f t="shared" si="46"/>
        <v>193</v>
      </c>
      <c r="AI107" s="18">
        <f t="shared" si="46"/>
        <v>11</v>
      </c>
      <c r="AJ107">
        <f t="shared" si="47"/>
        <v>0</v>
      </c>
      <c r="AK107">
        <f t="shared" si="48"/>
        <v>0</v>
      </c>
      <c r="AL107">
        <f t="shared" si="49"/>
        <v>0</v>
      </c>
      <c r="AM107" s="17">
        <f t="shared" si="50"/>
        <v>0.80781758957654726</v>
      </c>
      <c r="AN107" s="17">
        <f t="shared" si="51"/>
        <v>0.7975206611570248</v>
      </c>
      <c r="AO107" s="18" t="str">
        <f>+IFERROR(VLOOKUP(A107,[2]Rank!$B:$E,4,0),"No Ganador")</f>
        <v>No Ganador</v>
      </c>
      <c r="AP107" s="18">
        <f>+VLOOKUP(D107,[2]Departamento!$A$1:$B$16,2,0)</f>
        <v>6</v>
      </c>
      <c r="AQ107">
        <f t="shared" si="52"/>
        <v>0</v>
      </c>
    </row>
    <row r="108" spans="1:43" x14ac:dyDescent="0.3">
      <c r="A108" t="s">
        <v>280</v>
      </c>
      <c r="B108" t="s">
        <v>281</v>
      </c>
      <c r="C108" t="s">
        <v>43</v>
      </c>
      <c r="D108" t="s">
        <v>99</v>
      </c>
      <c r="E108" s="10" t="s">
        <v>57</v>
      </c>
      <c r="F108" s="10" t="s">
        <v>46</v>
      </c>
      <c r="G108" s="11">
        <v>179</v>
      </c>
      <c r="H108" s="12">
        <v>197.27272727272725</v>
      </c>
      <c r="I108" s="12">
        <f t="shared" si="30"/>
        <v>197.27272727272725</v>
      </c>
      <c r="J108" s="13">
        <f t="shared" si="53"/>
        <v>237</v>
      </c>
      <c r="K108" s="14">
        <f t="shared" si="31"/>
        <v>214</v>
      </c>
      <c r="L108" s="15">
        <v>2</v>
      </c>
      <c r="M108" s="12">
        <v>1.4090909090909092</v>
      </c>
      <c r="N108" s="12">
        <f t="shared" si="32"/>
        <v>2</v>
      </c>
      <c r="O108" s="13">
        <v>3</v>
      </c>
      <c r="P108" s="16">
        <v>3</v>
      </c>
      <c r="Q108" s="15">
        <f t="shared" si="33"/>
        <v>39.727272727272748</v>
      </c>
      <c r="R108" s="12">
        <f t="shared" si="34"/>
        <v>16.727272727272748</v>
      </c>
      <c r="S108" s="12">
        <f t="shared" si="35"/>
        <v>1.5909090909090908</v>
      </c>
      <c r="T108" s="12">
        <f t="shared" si="36"/>
        <v>1.5909090909090908</v>
      </c>
      <c r="U108" s="17">
        <f t="shared" si="37"/>
        <v>0.20138248847926277</v>
      </c>
      <c r="V108" s="17">
        <f t="shared" si="38"/>
        <v>8.479262672811072E-2</v>
      </c>
      <c r="W108" s="17">
        <f t="shared" si="39"/>
        <v>1.129032258064516</v>
      </c>
      <c r="X108" s="17">
        <f t="shared" si="40"/>
        <v>1.129032258064516</v>
      </c>
      <c r="Y108" s="18">
        <f>+IFERROR(VLOOKUP(A108,[1]Hoja1!$A:$B,2,0),0)</f>
        <v>0</v>
      </c>
      <c r="Z108" s="18">
        <f>+IFERROR(VLOOKUP(A108,[1]Hoja1!$D:$E,2,0),0)</f>
        <v>0</v>
      </c>
      <c r="AA108" s="18">
        <f t="shared" si="41"/>
        <v>0</v>
      </c>
      <c r="AB108" s="18">
        <f t="shared" si="41"/>
        <v>0</v>
      </c>
      <c r="AC108">
        <f t="shared" si="42"/>
        <v>0</v>
      </c>
      <c r="AD108">
        <f t="shared" si="43"/>
        <v>0</v>
      </c>
      <c r="AE108">
        <f t="shared" si="44"/>
        <v>0</v>
      </c>
      <c r="AF108" s="17">
        <f t="shared" si="55"/>
        <v>0</v>
      </c>
      <c r="AG108" s="17">
        <f t="shared" si="45"/>
        <v>0</v>
      </c>
      <c r="AH108" s="18">
        <f t="shared" si="46"/>
        <v>0</v>
      </c>
      <c r="AI108" s="18">
        <f t="shared" si="46"/>
        <v>0</v>
      </c>
      <c r="AJ108">
        <f t="shared" si="47"/>
        <v>0</v>
      </c>
      <c r="AK108">
        <f t="shared" si="48"/>
        <v>0</v>
      </c>
      <c r="AL108">
        <f t="shared" si="49"/>
        <v>0</v>
      </c>
      <c r="AM108" s="17">
        <f t="shared" si="50"/>
        <v>0</v>
      </c>
      <c r="AN108" s="17">
        <f t="shared" si="51"/>
        <v>0</v>
      </c>
      <c r="AO108" s="18" t="str">
        <f>+IFERROR(VLOOKUP(A108,[2]Rank!$B:$E,4,0),"No Ganador")</f>
        <v>No Ganador</v>
      </c>
      <c r="AP108" s="18">
        <f>+VLOOKUP(D108,[2]Departamento!$A$1:$B$16,2,0)</f>
        <v>2</v>
      </c>
      <c r="AQ108">
        <f t="shared" si="52"/>
        <v>0</v>
      </c>
    </row>
    <row r="109" spans="1:43" x14ac:dyDescent="0.3">
      <c r="A109" t="s">
        <v>282</v>
      </c>
      <c r="B109" t="s">
        <v>283</v>
      </c>
      <c r="C109" t="s">
        <v>43</v>
      </c>
      <c r="D109" t="s">
        <v>44</v>
      </c>
      <c r="E109" s="10" t="s">
        <v>45</v>
      </c>
      <c r="F109" s="10" t="s">
        <v>63</v>
      </c>
      <c r="G109" s="11">
        <v>129</v>
      </c>
      <c r="H109" s="12">
        <v>139.5</v>
      </c>
      <c r="I109" s="12">
        <f t="shared" si="30"/>
        <v>139.5</v>
      </c>
      <c r="J109" s="13">
        <f t="shared" si="53"/>
        <v>167</v>
      </c>
      <c r="K109" s="14">
        <f t="shared" si="31"/>
        <v>151</v>
      </c>
      <c r="L109" s="15">
        <v>2</v>
      </c>
      <c r="M109" s="12">
        <v>1.4090909090909092</v>
      </c>
      <c r="N109" s="12">
        <f t="shared" si="32"/>
        <v>2</v>
      </c>
      <c r="O109" s="13">
        <v>3</v>
      </c>
      <c r="P109" s="16">
        <v>3</v>
      </c>
      <c r="Q109" s="15">
        <f t="shared" si="33"/>
        <v>27.5</v>
      </c>
      <c r="R109" s="12">
        <f t="shared" si="34"/>
        <v>11.5</v>
      </c>
      <c r="S109" s="12">
        <f t="shared" si="35"/>
        <v>1.5909090909090908</v>
      </c>
      <c r="T109" s="12">
        <f t="shared" si="36"/>
        <v>1.5909090909090908</v>
      </c>
      <c r="U109" s="17">
        <f t="shared" si="37"/>
        <v>0.19713261648745517</v>
      </c>
      <c r="V109" s="17">
        <f t="shared" si="38"/>
        <v>8.2437275985663083E-2</v>
      </c>
      <c r="W109" s="17">
        <f t="shared" si="39"/>
        <v>1.129032258064516</v>
      </c>
      <c r="X109" s="17">
        <f t="shared" si="40"/>
        <v>1.129032258064516</v>
      </c>
      <c r="Y109" s="18">
        <f>+IFERROR(VLOOKUP(A109,[1]Hoja1!$A:$B,2,0),0)</f>
        <v>93</v>
      </c>
      <c r="Z109" s="18">
        <f>+IFERROR(VLOOKUP(A109,[1]Hoja1!$D:$E,2,0),0)</f>
        <v>0</v>
      </c>
      <c r="AA109" s="18">
        <f t="shared" si="41"/>
        <v>262</v>
      </c>
      <c r="AB109" s="18">
        <f t="shared" si="41"/>
        <v>0</v>
      </c>
      <c r="AC109">
        <f t="shared" si="42"/>
        <v>1</v>
      </c>
      <c r="AD109">
        <f t="shared" si="43"/>
        <v>0</v>
      </c>
      <c r="AE109">
        <f t="shared" si="44"/>
        <v>0</v>
      </c>
      <c r="AF109" s="17">
        <f t="shared" si="55"/>
        <v>1.4395604395604396</v>
      </c>
      <c r="AG109" s="17">
        <f t="shared" si="45"/>
        <v>1.5688622754491017</v>
      </c>
      <c r="AH109" s="18">
        <f t="shared" si="46"/>
        <v>499</v>
      </c>
      <c r="AI109" s="18">
        <f t="shared" si="46"/>
        <v>0</v>
      </c>
      <c r="AJ109">
        <f t="shared" si="47"/>
        <v>1</v>
      </c>
      <c r="AK109">
        <f t="shared" si="48"/>
        <v>0</v>
      </c>
      <c r="AL109">
        <f t="shared" si="49"/>
        <v>0</v>
      </c>
      <c r="AM109" s="17">
        <f t="shared" si="50"/>
        <v>1.4339080459770115</v>
      </c>
      <c r="AN109" s="17">
        <f t="shared" si="51"/>
        <v>1.5691823899371069</v>
      </c>
      <c r="AO109" s="18" t="str">
        <f>+IFERROR(VLOOKUP(A109,[2]Rank!$B:$E,4,0),"No Ganador")</f>
        <v>No Ganador</v>
      </c>
      <c r="AP109" s="18">
        <f>+VLOOKUP(D109,[2]Departamento!$A$1:$B$16,2,0)</f>
        <v>6</v>
      </c>
      <c r="AQ109">
        <f t="shared" si="52"/>
        <v>0</v>
      </c>
    </row>
    <row r="110" spans="1:43" x14ac:dyDescent="0.3">
      <c r="A110" t="s">
        <v>284</v>
      </c>
      <c r="B110" t="s">
        <v>285</v>
      </c>
      <c r="C110" t="s">
        <v>43</v>
      </c>
      <c r="D110" t="s">
        <v>90</v>
      </c>
      <c r="E110" s="10" t="s">
        <v>69</v>
      </c>
      <c r="F110" s="10" t="s">
        <v>75</v>
      </c>
      <c r="G110" s="11">
        <v>273</v>
      </c>
      <c r="H110" s="12">
        <v>287.4545454545455</v>
      </c>
      <c r="I110" s="12">
        <f t="shared" si="30"/>
        <v>287.4545454545455</v>
      </c>
      <c r="J110" s="13">
        <f t="shared" si="53"/>
        <v>345</v>
      </c>
      <c r="K110" s="14">
        <f t="shared" si="31"/>
        <v>312</v>
      </c>
      <c r="L110" s="15">
        <v>23</v>
      </c>
      <c r="M110" s="12">
        <v>11.272727272727273</v>
      </c>
      <c r="N110" s="12">
        <f t="shared" si="32"/>
        <v>23</v>
      </c>
      <c r="O110" s="13">
        <v>28</v>
      </c>
      <c r="P110" s="16">
        <f t="shared" si="54"/>
        <v>25</v>
      </c>
      <c r="Q110" s="15">
        <f t="shared" si="33"/>
        <v>57.545454545454504</v>
      </c>
      <c r="R110" s="12">
        <f t="shared" si="34"/>
        <v>24.545454545454504</v>
      </c>
      <c r="S110" s="12">
        <f t="shared" si="35"/>
        <v>16.727272727272727</v>
      </c>
      <c r="T110" s="12">
        <f t="shared" si="36"/>
        <v>13.727272727272727</v>
      </c>
      <c r="U110" s="17">
        <f t="shared" si="37"/>
        <v>0.20018975332068289</v>
      </c>
      <c r="V110" s="17">
        <f t="shared" si="38"/>
        <v>8.5388994307400212E-2</v>
      </c>
      <c r="W110" s="17">
        <f t="shared" si="39"/>
        <v>1.4838709677419355</v>
      </c>
      <c r="X110" s="17">
        <f t="shared" si="40"/>
        <v>1.217741935483871</v>
      </c>
      <c r="Y110" s="18">
        <f>+IFERROR(VLOOKUP(A110,[1]Hoja1!$A:$B,2,0),0)</f>
        <v>51</v>
      </c>
      <c r="Z110" s="18">
        <f>+IFERROR(VLOOKUP(A110,[1]Hoja1!$D:$E,2,0),0)</f>
        <v>2</v>
      </c>
      <c r="AA110" s="18">
        <f t="shared" si="41"/>
        <v>144</v>
      </c>
      <c r="AB110" s="18">
        <f t="shared" si="41"/>
        <v>6</v>
      </c>
      <c r="AC110">
        <f t="shared" si="42"/>
        <v>0</v>
      </c>
      <c r="AD110">
        <f t="shared" si="43"/>
        <v>0</v>
      </c>
      <c r="AE110">
        <f t="shared" si="44"/>
        <v>0</v>
      </c>
      <c r="AF110" s="17">
        <f t="shared" si="55"/>
        <v>0.35876288659793815</v>
      </c>
      <c r="AG110" s="17">
        <f t="shared" si="45"/>
        <v>0.41739130434782606</v>
      </c>
      <c r="AH110" s="18">
        <f t="shared" si="46"/>
        <v>274</v>
      </c>
      <c r="AI110" s="18">
        <f t="shared" si="46"/>
        <v>11</v>
      </c>
      <c r="AJ110">
        <f t="shared" si="47"/>
        <v>0</v>
      </c>
      <c r="AK110">
        <f t="shared" si="48"/>
        <v>0</v>
      </c>
      <c r="AL110">
        <f t="shared" si="49"/>
        <v>0</v>
      </c>
      <c r="AM110" s="17">
        <f t="shared" si="50"/>
        <v>0.35683297180043383</v>
      </c>
      <c r="AN110" s="17">
        <f t="shared" si="51"/>
        <v>0.41704718417047182</v>
      </c>
      <c r="AO110" s="18" t="str">
        <f>+IFERROR(VLOOKUP(A110,[2]Rank!$B:$E,4,0),"No Ganador")</f>
        <v>No Ganador</v>
      </c>
      <c r="AP110" s="18">
        <f>+VLOOKUP(D110,[2]Departamento!$A$1:$B$16,2,0)</f>
        <v>2</v>
      </c>
      <c r="AQ110">
        <f t="shared" si="52"/>
        <v>0</v>
      </c>
    </row>
    <row r="111" spans="1:43" x14ac:dyDescent="0.3">
      <c r="A111" t="s">
        <v>286</v>
      </c>
      <c r="B111" t="s">
        <v>287</v>
      </c>
      <c r="C111" t="s">
        <v>43</v>
      </c>
      <c r="D111" t="s">
        <v>44</v>
      </c>
      <c r="E111" s="10" t="s">
        <v>45</v>
      </c>
      <c r="F111" s="10" t="s">
        <v>46</v>
      </c>
      <c r="G111" s="11">
        <v>95</v>
      </c>
      <c r="H111" s="12">
        <v>105.68181818181819</v>
      </c>
      <c r="I111" s="12">
        <f t="shared" si="30"/>
        <v>105.68181818181819</v>
      </c>
      <c r="J111" s="13">
        <f t="shared" si="53"/>
        <v>127</v>
      </c>
      <c r="K111" s="14">
        <f t="shared" si="31"/>
        <v>115</v>
      </c>
      <c r="L111" s="15">
        <v>5</v>
      </c>
      <c r="M111" s="12">
        <v>4.2272727272727266</v>
      </c>
      <c r="N111" s="12">
        <f t="shared" si="32"/>
        <v>5</v>
      </c>
      <c r="O111" s="13">
        <v>6</v>
      </c>
      <c r="P111" s="16">
        <f t="shared" si="54"/>
        <v>5</v>
      </c>
      <c r="Q111" s="15">
        <f t="shared" si="33"/>
        <v>21.318181818181813</v>
      </c>
      <c r="R111" s="12">
        <f t="shared" si="34"/>
        <v>9.318181818181813</v>
      </c>
      <c r="S111" s="12">
        <f t="shared" si="35"/>
        <v>1.7727272727272734</v>
      </c>
      <c r="T111" s="12">
        <f t="shared" si="36"/>
        <v>0.77272727272727337</v>
      </c>
      <c r="U111" s="17">
        <f t="shared" si="37"/>
        <v>0.20172043010752683</v>
      </c>
      <c r="V111" s="17">
        <f t="shared" si="38"/>
        <v>8.8172043010752654E-2</v>
      </c>
      <c r="W111" s="17">
        <f t="shared" si="39"/>
        <v>0.41935483870967771</v>
      </c>
      <c r="X111" s="17">
        <f t="shared" si="40"/>
        <v>0.18279569892473146</v>
      </c>
      <c r="Y111" s="18">
        <f>+IFERROR(VLOOKUP(A111,[1]Hoja1!$A:$B,2,0),0)</f>
        <v>19</v>
      </c>
      <c r="Z111" s="18">
        <f>+IFERROR(VLOOKUP(A111,[1]Hoja1!$D:$E,2,0),0)</f>
        <v>2</v>
      </c>
      <c r="AA111" s="18">
        <f t="shared" si="41"/>
        <v>54</v>
      </c>
      <c r="AB111" s="18">
        <f t="shared" si="41"/>
        <v>6</v>
      </c>
      <c r="AC111">
        <f t="shared" si="42"/>
        <v>0</v>
      </c>
      <c r="AD111">
        <f t="shared" si="43"/>
        <v>1</v>
      </c>
      <c r="AE111">
        <f t="shared" si="44"/>
        <v>0</v>
      </c>
      <c r="AF111" s="17">
        <f t="shared" si="55"/>
        <v>0.53503184713375795</v>
      </c>
      <c r="AG111" s="17">
        <f t="shared" si="45"/>
        <v>0.42519685039370081</v>
      </c>
      <c r="AH111" s="18">
        <f t="shared" si="46"/>
        <v>102</v>
      </c>
      <c r="AI111" s="18">
        <f t="shared" si="46"/>
        <v>11</v>
      </c>
      <c r="AJ111">
        <f t="shared" si="47"/>
        <v>0</v>
      </c>
      <c r="AK111">
        <f t="shared" si="48"/>
        <v>1</v>
      </c>
      <c r="AL111">
        <f t="shared" si="49"/>
        <v>0</v>
      </c>
      <c r="AM111" s="17">
        <f t="shared" si="50"/>
        <v>0.52861952861952866</v>
      </c>
      <c r="AN111" s="17">
        <f t="shared" si="51"/>
        <v>0.42148760330578511</v>
      </c>
      <c r="AO111" s="18" t="str">
        <f>+IFERROR(VLOOKUP(A111,[2]Rank!$B:$E,4,0),"No Ganador")</f>
        <v>No Ganador</v>
      </c>
      <c r="AP111" s="18">
        <f>+VLOOKUP(D111,[2]Departamento!$A$1:$B$16,2,0)</f>
        <v>6</v>
      </c>
      <c r="AQ111">
        <f t="shared" si="52"/>
        <v>0</v>
      </c>
    </row>
    <row r="112" spans="1:43" x14ac:dyDescent="0.3">
      <c r="A112" t="s">
        <v>288</v>
      </c>
      <c r="B112" t="s">
        <v>289</v>
      </c>
      <c r="C112" t="s">
        <v>43</v>
      </c>
      <c r="D112" t="s">
        <v>44</v>
      </c>
      <c r="E112" s="10" t="s">
        <v>45</v>
      </c>
      <c r="F112" s="10" t="s">
        <v>63</v>
      </c>
      <c r="G112" s="11">
        <v>208</v>
      </c>
      <c r="H112" s="12">
        <v>221.22727272727275</v>
      </c>
      <c r="I112" s="12">
        <f t="shared" si="30"/>
        <v>221.22727272727275</v>
      </c>
      <c r="J112" s="13">
        <f t="shared" si="53"/>
        <v>265</v>
      </c>
      <c r="K112" s="14">
        <f t="shared" si="31"/>
        <v>239</v>
      </c>
      <c r="L112" s="15">
        <v>12</v>
      </c>
      <c r="M112" s="12">
        <v>9.8636363636363633</v>
      </c>
      <c r="N112" s="12">
        <f t="shared" si="32"/>
        <v>12</v>
      </c>
      <c r="O112" s="13">
        <v>14</v>
      </c>
      <c r="P112" s="16">
        <f t="shared" si="54"/>
        <v>13</v>
      </c>
      <c r="Q112" s="15">
        <f t="shared" si="33"/>
        <v>43.772727272727252</v>
      </c>
      <c r="R112" s="12">
        <f t="shared" si="34"/>
        <v>17.772727272727252</v>
      </c>
      <c r="S112" s="12">
        <f t="shared" si="35"/>
        <v>4.1363636363636367</v>
      </c>
      <c r="T112" s="12">
        <f t="shared" si="36"/>
        <v>3.1363636363636367</v>
      </c>
      <c r="U112" s="17">
        <f t="shared" si="37"/>
        <v>0.19786316005753024</v>
      </c>
      <c r="V112" s="17">
        <f t="shared" si="38"/>
        <v>8.0336963221697033E-2</v>
      </c>
      <c r="W112" s="17">
        <f t="shared" si="39"/>
        <v>0.41935483870967749</v>
      </c>
      <c r="X112" s="17">
        <f t="shared" si="40"/>
        <v>0.31797235023041481</v>
      </c>
      <c r="Y112" s="18">
        <f>+IFERROR(VLOOKUP(A112,[1]Hoja1!$A:$B,2,0),0)</f>
        <v>93</v>
      </c>
      <c r="Z112" s="18">
        <f>+IFERROR(VLOOKUP(A112,[1]Hoja1!$D:$E,2,0),0)</f>
        <v>5</v>
      </c>
      <c r="AA112" s="18">
        <f t="shared" si="41"/>
        <v>262</v>
      </c>
      <c r="AB112" s="18">
        <f t="shared" si="41"/>
        <v>14</v>
      </c>
      <c r="AC112">
        <f t="shared" si="42"/>
        <v>0</v>
      </c>
      <c r="AD112">
        <f t="shared" si="43"/>
        <v>1</v>
      </c>
      <c r="AE112">
        <f t="shared" si="44"/>
        <v>0</v>
      </c>
      <c r="AF112" s="17">
        <f t="shared" si="55"/>
        <v>0.991044776119403</v>
      </c>
      <c r="AG112" s="17">
        <f t="shared" si="45"/>
        <v>0.98867924528301887</v>
      </c>
      <c r="AH112" s="18">
        <f t="shared" si="46"/>
        <v>499</v>
      </c>
      <c r="AI112" s="18">
        <f t="shared" si="46"/>
        <v>27</v>
      </c>
      <c r="AJ112">
        <f t="shared" si="47"/>
        <v>0</v>
      </c>
      <c r="AK112">
        <f t="shared" si="48"/>
        <v>1</v>
      </c>
      <c r="AL112">
        <f t="shared" si="49"/>
        <v>0</v>
      </c>
      <c r="AM112" s="17">
        <f t="shared" si="50"/>
        <v>0.99217527386541471</v>
      </c>
      <c r="AN112" s="17">
        <f t="shared" si="51"/>
        <v>0.99007936507936511</v>
      </c>
      <c r="AO112" s="18" t="str">
        <f>+IFERROR(VLOOKUP(A112,[2]Rank!$B:$E,4,0),"No Ganador")</f>
        <v>No Ganador</v>
      </c>
      <c r="AP112" s="18">
        <f>+VLOOKUP(D112,[2]Departamento!$A$1:$B$16,2,0)</f>
        <v>6</v>
      </c>
      <c r="AQ112">
        <f t="shared" si="52"/>
        <v>0</v>
      </c>
    </row>
    <row r="113" spans="1:43" x14ac:dyDescent="0.3">
      <c r="A113" t="s">
        <v>290</v>
      </c>
      <c r="B113" t="s">
        <v>291</v>
      </c>
      <c r="C113" t="s">
        <v>43</v>
      </c>
      <c r="D113" t="s">
        <v>110</v>
      </c>
      <c r="E113" s="10" t="s">
        <v>50</v>
      </c>
      <c r="F113" s="10" t="s">
        <v>51</v>
      </c>
      <c r="G113" s="11">
        <v>193</v>
      </c>
      <c r="H113" s="12">
        <v>209.95454545454544</v>
      </c>
      <c r="I113" s="12">
        <f t="shared" si="30"/>
        <v>209.95454545454544</v>
      </c>
      <c r="J113" s="13">
        <f t="shared" si="53"/>
        <v>252</v>
      </c>
      <c r="K113" s="14">
        <f t="shared" si="31"/>
        <v>228</v>
      </c>
      <c r="L113" s="15">
        <v>13</v>
      </c>
      <c r="M113" s="12">
        <v>4.2272727272727266</v>
      </c>
      <c r="N113" s="12">
        <f t="shared" si="32"/>
        <v>13</v>
      </c>
      <c r="O113" s="13">
        <v>16</v>
      </c>
      <c r="P113" s="16">
        <f t="shared" si="54"/>
        <v>14</v>
      </c>
      <c r="Q113" s="15">
        <f t="shared" si="33"/>
        <v>42.045454545454561</v>
      </c>
      <c r="R113" s="12">
        <f t="shared" si="34"/>
        <v>18.045454545454561</v>
      </c>
      <c r="S113" s="12">
        <f t="shared" si="35"/>
        <v>11.772727272727273</v>
      </c>
      <c r="T113" s="12">
        <f t="shared" si="36"/>
        <v>9.7727272727272734</v>
      </c>
      <c r="U113" s="17">
        <f t="shared" si="37"/>
        <v>0.2002597964927475</v>
      </c>
      <c r="V113" s="17">
        <f t="shared" si="38"/>
        <v>8.5949339683914383E-2</v>
      </c>
      <c r="W113" s="17">
        <f t="shared" si="39"/>
        <v>2.7849462365591404</v>
      </c>
      <c r="X113" s="17">
        <f t="shared" si="40"/>
        <v>2.3118279569892479</v>
      </c>
      <c r="Y113" s="18">
        <f>+IFERROR(VLOOKUP(A113,[1]Hoja1!$A:$B,2,0),0)</f>
        <v>90</v>
      </c>
      <c r="Z113" s="18">
        <f>+IFERROR(VLOOKUP(A113,[1]Hoja1!$D:$E,2,0),0)</f>
        <v>11</v>
      </c>
      <c r="AA113" s="18">
        <f t="shared" si="41"/>
        <v>254</v>
      </c>
      <c r="AB113" s="18">
        <f t="shared" si="41"/>
        <v>31</v>
      </c>
      <c r="AC113">
        <f t="shared" si="42"/>
        <v>1</v>
      </c>
      <c r="AD113">
        <f t="shared" si="43"/>
        <v>1</v>
      </c>
      <c r="AE113">
        <f t="shared" si="44"/>
        <v>1</v>
      </c>
      <c r="AF113" s="17">
        <f t="shared" si="55"/>
        <v>1.2319277108433735</v>
      </c>
      <c r="AG113" s="17">
        <f t="shared" si="45"/>
        <v>1.0079365079365079</v>
      </c>
      <c r="AH113" s="18">
        <f t="shared" si="46"/>
        <v>483</v>
      </c>
      <c r="AI113" s="18">
        <f t="shared" si="46"/>
        <v>59</v>
      </c>
      <c r="AJ113">
        <f t="shared" si="47"/>
        <v>1</v>
      </c>
      <c r="AK113">
        <f t="shared" si="48"/>
        <v>1</v>
      </c>
      <c r="AL113">
        <f t="shared" si="49"/>
        <v>1</v>
      </c>
      <c r="AM113" s="17">
        <f t="shared" si="50"/>
        <v>1.234920634920635</v>
      </c>
      <c r="AN113" s="17">
        <f t="shared" si="51"/>
        <v>1.0062500000000001</v>
      </c>
      <c r="AO113" s="18">
        <f>+IFERROR(VLOOKUP(A113,[2]Rank!$B:$E,4,0),"No Ganador")</f>
        <v>1</v>
      </c>
      <c r="AP113" s="18">
        <f>+VLOOKUP(D113,[2]Departamento!$A$1:$B$16,2,0)</f>
        <v>1</v>
      </c>
      <c r="AQ113">
        <f t="shared" si="52"/>
        <v>1</v>
      </c>
    </row>
    <row r="114" spans="1:43" x14ac:dyDescent="0.3">
      <c r="A114" t="s">
        <v>292</v>
      </c>
      <c r="B114" t="s">
        <v>293</v>
      </c>
      <c r="C114" t="s">
        <v>43</v>
      </c>
      <c r="D114" t="s">
        <v>78</v>
      </c>
      <c r="E114" s="10" t="s">
        <v>50</v>
      </c>
      <c r="F114" s="10" t="s">
        <v>51</v>
      </c>
      <c r="G114" s="11">
        <v>162</v>
      </c>
      <c r="H114" s="12">
        <v>174.72727272727275</v>
      </c>
      <c r="I114" s="12">
        <f t="shared" si="30"/>
        <v>174.72727272727275</v>
      </c>
      <c r="J114" s="13">
        <f t="shared" si="53"/>
        <v>210</v>
      </c>
      <c r="K114" s="14">
        <f t="shared" si="31"/>
        <v>190</v>
      </c>
      <c r="L114" s="15">
        <v>1</v>
      </c>
      <c r="M114" s="12">
        <v>2.8181818181818183</v>
      </c>
      <c r="N114" s="12">
        <f t="shared" si="32"/>
        <v>2.8181818181818183</v>
      </c>
      <c r="O114" s="13">
        <v>4</v>
      </c>
      <c r="P114" s="16">
        <f t="shared" si="54"/>
        <v>4</v>
      </c>
      <c r="Q114" s="15">
        <f t="shared" si="33"/>
        <v>35.272727272727252</v>
      </c>
      <c r="R114" s="12">
        <f t="shared" si="34"/>
        <v>15.272727272727252</v>
      </c>
      <c r="S114" s="12">
        <f t="shared" si="35"/>
        <v>1.1818181818181817</v>
      </c>
      <c r="T114" s="12">
        <f t="shared" si="36"/>
        <v>1.1818181818181817</v>
      </c>
      <c r="U114" s="17">
        <f t="shared" si="37"/>
        <v>0.20187304890738789</v>
      </c>
      <c r="V114" s="17">
        <f t="shared" si="38"/>
        <v>8.7408949011446246E-2</v>
      </c>
      <c r="W114" s="17">
        <f t="shared" si="39"/>
        <v>0.41935483870967727</v>
      </c>
      <c r="X114" s="17">
        <f t="shared" si="40"/>
        <v>0.41935483870967727</v>
      </c>
      <c r="Y114" s="18">
        <f>+IFERROR(VLOOKUP(A114,[1]Hoja1!$A:$B,2,0),0)</f>
        <v>63</v>
      </c>
      <c r="Z114" s="18">
        <f>+IFERROR(VLOOKUP(A114,[1]Hoja1!$D:$E,2,0),0)</f>
        <v>5</v>
      </c>
      <c r="AA114" s="18">
        <f t="shared" si="41"/>
        <v>178</v>
      </c>
      <c r="AB114" s="18">
        <f t="shared" si="41"/>
        <v>14</v>
      </c>
      <c r="AC114">
        <f t="shared" si="42"/>
        <v>0</v>
      </c>
      <c r="AD114">
        <f t="shared" si="43"/>
        <v>1</v>
      </c>
      <c r="AE114">
        <f t="shared" si="44"/>
        <v>0</v>
      </c>
      <c r="AF114" s="17">
        <f t="shared" si="55"/>
        <v>1.0782608695652174</v>
      </c>
      <c r="AG114" s="17">
        <f t="shared" si="45"/>
        <v>0.84761904761904761</v>
      </c>
      <c r="AH114" s="18">
        <f t="shared" si="46"/>
        <v>338</v>
      </c>
      <c r="AI114" s="18">
        <f t="shared" si="46"/>
        <v>27</v>
      </c>
      <c r="AJ114">
        <f t="shared" si="47"/>
        <v>0</v>
      </c>
      <c r="AK114">
        <f t="shared" si="48"/>
        <v>1</v>
      </c>
      <c r="AL114">
        <f t="shared" si="49"/>
        <v>0</v>
      </c>
      <c r="AM114" s="17">
        <f t="shared" si="50"/>
        <v>1.075</v>
      </c>
      <c r="AN114" s="17">
        <f t="shared" si="51"/>
        <v>0.84499999999999997</v>
      </c>
      <c r="AO114" s="18" t="str">
        <f>+IFERROR(VLOOKUP(A114,[2]Rank!$B:$E,4,0),"No Ganador")</f>
        <v>No Ganador</v>
      </c>
      <c r="AP114" s="18">
        <f>+VLOOKUP(D114,[2]Departamento!$A$1:$B$16,2,0)</f>
        <v>1</v>
      </c>
      <c r="AQ114">
        <f t="shared" si="52"/>
        <v>0</v>
      </c>
    </row>
    <row r="115" spans="1:43" x14ac:dyDescent="0.3">
      <c r="A115" t="s">
        <v>294</v>
      </c>
      <c r="B115" t="s">
        <v>295</v>
      </c>
      <c r="C115" t="s">
        <v>43</v>
      </c>
      <c r="D115" t="s">
        <v>99</v>
      </c>
      <c r="E115" s="10" t="s">
        <v>57</v>
      </c>
      <c r="F115" s="10" t="s">
        <v>46</v>
      </c>
      <c r="G115" s="11">
        <v>103</v>
      </c>
      <c r="H115" s="12">
        <v>119.77272727272728</v>
      </c>
      <c r="I115" s="12">
        <f t="shared" si="30"/>
        <v>119.77272727272728</v>
      </c>
      <c r="J115" s="13">
        <f t="shared" si="53"/>
        <v>144</v>
      </c>
      <c r="K115" s="14">
        <f t="shared" si="31"/>
        <v>130</v>
      </c>
      <c r="L115" s="15">
        <v>5</v>
      </c>
      <c r="M115" s="12">
        <v>2.8181818181818183</v>
      </c>
      <c r="N115" s="12">
        <f t="shared" si="32"/>
        <v>5</v>
      </c>
      <c r="O115" s="13">
        <v>6</v>
      </c>
      <c r="P115" s="16">
        <f t="shared" si="54"/>
        <v>5</v>
      </c>
      <c r="Q115" s="15">
        <f t="shared" si="33"/>
        <v>24.22727272727272</v>
      </c>
      <c r="R115" s="12">
        <f t="shared" si="34"/>
        <v>10.22727272727272</v>
      </c>
      <c r="S115" s="12">
        <f t="shared" si="35"/>
        <v>3.1818181818181817</v>
      </c>
      <c r="T115" s="12">
        <f t="shared" si="36"/>
        <v>2.1818181818181817</v>
      </c>
      <c r="U115" s="17">
        <f t="shared" si="37"/>
        <v>0.20227703984819723</v>
      </c>
      <c r="V115" s="17">
        <f t="shared" si="38"/>
        <v>8.5388994307400212E-2</v>
      </c>
      <c r="W115" s="17">
        <f t="shared" si="39"/>
        <v>1.129032258064516</v>
      </c>
      <c r="X115" s="17">
        <f t="shared" si="40"/>
        <v>0.77419354838709675</v>
      </c>
      <c r="Y115" s="18">
        <f>+IFERROR(VLOOKUP(A115,[1]Hoja1!$A:$B,2,0),0)</f>
        <v>88</v>
      </c>
      <c r="Z115" s="18">
        <f>+IFERROR(VLOOKUP(A115,[1]Hoja1!$D:$E,2,0),0)</f>
        <v>5</v>
      </c>
      <c r="AA115" s="18">
        <f t="shared" si="41"/>
        <v>248</v>
      </c>
      <c r="AB115" s="18">
        <f t="shared" si="41"/>
        <v>14</v>
      </c>
      <c r="AC115">
        <f t="shared" si="42"/>
        <v>1</v>
      </c>
      <c r="AD115">
        <f t="shared" si="43"/>
        <v>1</v>
      </c>
      <c r="AE115">
        <f t="shared" si="44"/>
        <v>1</v>
      </c>
      <c r="AF115" s="17">
        <f t="shared" si="55"/>
        <v>1.8275862068965518</v>
      </c>
      <c r="AG115" s="17">
        <f t="shared" si="45"/>
        <v>1.7222222222222223</v>
      </c>
      <c r="AH115" s="18">
        <f t="shared" si="46"/>
        <v>472</v>
      </c>
      <c r="AI115" s="18">
        <f t="shared" si="46"/>
        <v>27</v>
      </c>
      <c r="AJ115">
        <f t="shared" si="47"/>
        <v>1</v>
      </c>
      <c r="AK115">
        <f t="shared" si="48"/>
        <v>1</v>
      </c>
      <c r="AL115">
        <f t="shared" si="49"/>
        <v>1</v>
      </c>
      <c r="AM115" s="17">
        <f t="shared" si="50"/>
        <v>1.8449848024316109</v>
      </c>
      <c r="AN115" s="17">
        <f t="shared" si="51"/>
        <v>1.7226277372262773</v>
      </c>
      <c r="AO115" s="18">
        <f>+IFERROR(VLOOKUP(A115,[2]Rank!$B:$E,4,0),"No Ganador")</f>
        <v>2</v>
      </c>
      <c r="AP115" s="18">
        <f>+VLOOKUP(D115,[2]Departamento!$A$1:$B$16,2,0)</f>
        <v>2</v>
      </c>
      <c r="AQ115">
        <f t="shared" si="52"/>
        <v>1</v>
      </c>
    </row>
    <row r="116" spans="1:43" x14ac:dyDescent="0.3">
      <c r="A116" t="s">
        <v>296</v>
      </c>
      <c r="B116" t="s">
        <v>297</v>
      </c>
      <c r="C116" t="s">
        <v>43</v>
      </c>
      <c r="D116" t="s">
        <v>44</v>
      </c>
      <c r="E116" s="10" t="s">
        <v>45</v>
      </c>
      <c r="F116" s="10" t="s">
        <v>46</v>
      </c>
      <c r="G116" s="11">
        <v>211</v>
      </c>
      <c r="H116" s="12">
        <v>233.90909090909093</v>
      </c>
      <c r="I116" s="12">
        <f t="shared" si="30"/>
        <v>233.90909090909093</v>
      </c>
      <c r="J116" s="13">
        <f t="shared" si="53"/>
        <v>281</v>
      </c>
      <c r="K116" s="14">
        <f t="shared" si="31"/>
        <v>254</v>
      </c>
      <c r="L116" s="15">
        <v>6</v>
      </c>
      <c r="M116" s="12">
        <v>2.8181818181818183</v>
      </c>
      <c r="N116" s="12">
        <f t="shared" si="32"/>
        <v>6</v>
      </c>
      <c r="O116" s="13">
        <v>7</v>
      </c>
      <c r="P116" s="16">
        <f t="shared" si="54"/>
        <v>6</v>
      </c>
      <c r="Q116" s="15">
        <f t="shared" si="33"/>
        <v>47.090909090909065</v>
      </c>
      <c r="R116" s="12">
        <f t="shared" si="34"/>
        <v>20.090909090909065</v>
      </c>
      <c r="S116" s="12">
        <f t="shared" si="35"/>
        <v>4.1818181818181817</v>
      </c>
      <c r="T116" s="12">
        <f t="shared" si="36"/>
        <v>3.1818181818181817</v>
      </c>
      <c r="U116" s="17">
        <f t="shared" si="37"/>
        <v>0.20132141469102205</v>
      </c>
      <c r="V116" s="17">
        <f t="shared" si="38"/>
        <v>8.5891954916439861E-2</v>
      </c>
      <c r="W116" s="17">
        <f t="shared" si="39"/>
        <v>1.4838709677419355</v>
      </c>
      <c r="X116" s="17">
        <f t="shared" si="40"/>
        <v>1.129032258064516</v>
      </c>
      <c r="Y116" s="18">
        <f>+IFERROR(VLOOKUP(A116,[1]Hoja1!$A:$B,2,0),0)</f>
        <v>81</v>
      </c>
      <c r="Z116" s="18">
        <f>+IFERROR(VLOOKUP(A116,[1]Hoja1!$D:$E,2,0),0)</f>
        <v>7</v>
      </c>
      <c r="AA116" s="18">
        <f t="shared" si="41"/>
        <v>228</v>
      </c>
      <c r="AB116" s="18">
        <f t="shared" si="41"/>
        <v>20</v>
      </c>
      <c r="AC116">
        <f t="shared" si="42"/>
        <v>0</v>
      </c>
      <c r="AD116">
        <f t="shared" si="43"/>
        <v>1</v>
      </c>
      <c r="AE116">
        <f t="shared" si="44"/>
        <v>0</v>
      </c>
      <c r="AF116" s="17">
        <f t="shared" si="55"/>
        <v>1.0379746835443038</v>
      </c>
      <c r="AG116" s="17">
        <f t="shared" si="45"/>
        <v>0.81138790035587194</v>
      </c>
      <c r="AH116" s="18">
        <f t="shared" si="46"/>
        <v>434</v>
      </c>
      <c r="AI116" s="18">
        <f t="shared" si="46"/>
        <v>38</v>
      </c>
      <c r="AJ116">
        <f t="shared" si="47"/>
        <v>0</v>
      </c>
      <c r="AK116">
        <f t="shared" si="48"/>
        <v>1</v>
      </c>
      <c r="AL116">
        <f t="shared" si="49"/>
        <v>0</v>
      </c>
      <c r="AM116" s="17">
        <f t="shared" si="50"/>
        <v>1.04</v>
      </c>
      <c r="AN116" s="17">
        <f t="shared" si="51"/>
        <v>0.81121495327102799</v>
      </c>
      <c r="AO116" s="18" t="str">
        <f>+IFERROR(VLOOKUP(A116,[2]Rank!$B:$E,4,0),"No Ganador")</f>
        <v>No Ganador</v>
      </c>
      <c r="AP116" s="18">
        <f>+VLOOKUP(D116,[2]Departamento!$A$1:$B$16,2,0)</f>
        <v>6</v>
      </c>
      <c r="AQ116">
        <f t="shared" si="52"/>
        <v>0</v>
      </c>
    </row>
    <row r="117" spans="1:43" x14ac:dyDescent="0.3">
      <c r="A117" t="s">
        <v>298</v>
      </c>
      <c r="B117" t="s">
        <v>299</v>
      </c>
      <c r="C117" t="s">
        <v>43</v>
      </c>
      <c r="D117" t="s">
        <v>44</v>
      </c>
      <c r="E117" s="10" t="s">
        <v>45</v>
      </c>
      <c r="F117" s="10" t="s">
        <v>63</v>
      </c>
      <c r="G117" s="11">
        <v>211</v>
      </c>
      <c r="H117" s="12">
        <v>224.04545454545456</v>
      </c>
      <c r="I117" s="12">
        <f t="shared" si="30"/>
        <v>224.04545454545456</v>
      </c>
      <c r="J117" s="13">
        <f t="shared" si="53"/>
        <v>269</v>
      </c>
      <c r="K117" s="14">
        <f t="shared" si="31"/>
        <v>243</v>
      </c>
      <c r="L117" s="15">
        <v>13</v>
      </c>
      <c r="M117" s="12">
        <v>11.272727272727273</v>
      </c>
      <c r="N117" s="12">
        <f t="shared" si="32"/>
        <v>13</v>
      </c>
      <c r="O117" s="13">
        <v>16</v>
      </c>
      <c r="P117" s="16">
        <f t="shared" si="54"/>
        <v>14</v>
      </c>
      <c r="Q117" s="15">
        <f t="shared" si="33"/>
        <v>44.954545454545439</v>
      </c>
      <c r="R117" s="12">
        <f t="shared" si="34"/>
        <v>18.954545454545439</v>
      </c>
      <c r="S117" s="12">
        <f t="shared" si="35"/>
        <v>4.7272727272727266</v>
      </c>
      <c r="T117" s="12">
        <f t="shared" si="36"/>
        <v>2.7272727272727266</v>
      </c>
      <c r="U117" s="17">
        <f t="shared" si="37"/>
        <v>0.20064921890850074</v>
      </c>
      <c r="V117" s="17">
        <f t="shared" si="38"/>
        <v>8.46013390139988E-2</v>
      </c>
      <c r="W117" s="17">
        <f t="shared" si="39"/>
        <v>0.41935483870967727</v>
      </c>
      <c r="X117" s="17">
        <f t="shared" si="40"/>
        <v>0.24193548387096775</v>
      </c>
      <c r="Y117" s="18">
        <f>+IFERROR(VLOOKUP(A117,[1]Hoja1!$A:$B,2,0),0)</f>
        <v>102</v>
      </c>
      <c r="Z117" s="18">
        <f>+IFERROR(VLOOKUP(A117,[1]Hoja1!$D:$E,2,0),0)</f>
        <v>4</v>
      </c>
      <c r="AA117" s="18">
        <f t="shared" si="41"/>
        <v>287</v>
      </c>
      <c r="AB117" s="18">
        <f t="shared" si="41"/>
        <v>11</v>
      </c>
      <c r="AC117">
        <f t="shared" si="42"/>
        <v>1</v>
      </c>
      <c r="AD117">
        <f t="shared" si="43"/>
        <v>0</v>
      </c>
      <c r="AE117">
        <f t="shared" si="44"/>
        <v>0</v>
      </c>
      <c r="AF117" s="17">
        <f t="shared" si="55"/>
        <v>0.97994269340974216</v>
      </c>
      <c r="AG117" s="17">
        <f t="shared" si="45"/>
        <v>1.0669144981412639</v>
      </c>
      <c r="AH117" s="18">
        <f t="shared" si="46"/>
        <v>547</v>
      </c>
      <c r="AI117" s="18">
        <f t="shared" si="46"/>
        <v>21</v>
      </c>
      <c r="AJ117">
        <f t="shared" si="47"/>
        <v>1</v>
      </c>
      <c r="AK117">
        <f t="shared" si="48"/>
        <v>0</v>
      </c>
      <c r="AL117">
        <f t="shared" si="49"/>
        <v>0</v>
      </c>
      <c r="AM117" s="17">
        <f t="shared" si="50"/>
        <v>0.98489425981873113</v>
      </c>
      <c r="AN117" s="17">
        <f t="shared" si="51"/>
        <v>1.068359375</v>
      </c>
      <c r="AO117" s="18" t="str">
        <f>+IFERROR(VLOOKUP(A117,[2]Rank!$B:$E,4,0),"No Ganador")</f>
        <v>No Ganador</v>
      </c>
      <c r="AP117" s="18">
        <f>+VLOOKUP(D117,[2]Departamento!$A$1:$B$16,2,0)</f>
        <v>6</v>
      </c>
      <c r="AQ117">
        <f t="shared" si="52"/>
        <v>0</v>
      </c>
    </row>
    <row r="118" spans="1:43" x14ac:dyDescent="0.3">
      <c r="A118" t="s">
        <v>300</v>
      </c>
      <c r="B118" t="s">
        <v>301</v>
      </c>
      <c r="C118" t="s">
        <v>43</v>
      </c>
      <c r="D118" t="s">
        <v>44</v>
      </c>
      <c r="E118" s="10" t="s">
        <v>45</v>
      </c>
      <c r="F118" s="10" t="s">
        <v>63</v>
      </c>
      <c r="G118" s="11">
        <v>152</v>
      </c>
      <c r="H118" s="12">
        <v>166.27272727272725</v>
      </c>
      <c r="I118" s="12">
        <f t="shared" si="30"/>
        <v>166.27272727272725</v>
      </c>
      <c r="J118" s="13">
        <f t="shared" si="53"/>
        <v>200</v>
      </c>
      <c r="K118" s="14">
        <f t="shared" si="31"/>
        <v>181</v>
      </c>
      <c r="L118" s="15">
        <v>6</v>
      </c>
      <c r="M118" s="12">
        <v>14.09090909090909</v>
      </c>
      <c r="N118" s="12">
        <f t="shared" si="32"/>
        <v>14.09090909090909</v>
      </c>
      <c r="O118" s="13">
        <v>17</v>
      </c>
      <c r="P118" s="16">
        <f t="shared" si="54"/>
        <v>15</v>
      </c>
      <c r="Q118" s="15">
        <f t="shared" si="33"/>
        <v>33.727272727272748</v>
      </c>
      <c r="R118" s="12">
        <f t="shared" si="34"/>
        <v>14.727272727272748</v>
      </c>
      <c r="S118" s="12">
        <f t="shared" si="35"/>
        <v>2.9090909090909101</v>
      </c>
      <c r="T118" s="12">
        <f t="shared" si="36"/>
        <v>0.90909090909091006</v>
      </c>
      <c r="U118" s="17">
        <f t="shared" si="37"/>
        <v>0.20284308365226922</v>
      </c>
      <c r="V118" s="17">
        <f t="shared" si="38"/>
        <v>8.8572990705303667E-2</v>
      </c>
      <c r="W118" s="17">
        <f t="shared" si="39"/>
        <v>0.20645161290322589</v>
      </c>
      <c r="X118" s="17">
        <f t="shared" si="40"/>
        <v>6.4516129032258229E-2</v>
      </c>
      <c r="Y118" s="18">
        <f>+IFERROR(VLOOKUP(A118,[1]Hoja1!$A:$B,2,0),0)</f>
        <v>72</v>
      </c>
      <c r="Z118" s="18">
        <f>+IFERROR(VLOOKUP(A118,[1]Hoja1!$D:$E,2,0),0)</f>
        <v>13</v>
      </c>
      <c r="AA118" s="18">
        <f t="shared" si="41"/>
        <v>203</v>
      </c>
      <c r="AB118" s="18">
        <f t="shared" si="41"/>
        <v>37</v>
      </c>
      <c r="AC118">
        <f t="shared" si="42"/>
        <v>1</v>
      </c>
      <c r="AD118">
        <f t="shared" si="43"/>
        <v>1</v>
      </c>
      <c r="AE118">
        <f t="shared" si="44"/>
        <v>1</v>
      </c>
      <c r="AF118" s="17">
        <f t="shared" si="55"/>
        <v>1.3614035087719298</v>
      </c>
      <c r="AG118" s="17">
        <f t="shared" si="45"/>
        <v>1.0149999999999999</v>
      </c>
      <c r="AH118" s="18">
        <f t="shared" si="46"/>
        <v>386</v>
      </c>
      <c r="AI118" s="18">
        <f t="shared" si="46"/>
        <v>70</v>
      </c>
      <c r="AJ118">
        <f t="shared" si="47"/>
        <v>1</v>
      </c>
      <c r="AK118">
        <f t="shared" si="48"/>
        <v>1</v>
      </c>
      <c r="AL118">
        <f t="shared" si="49"/>
        <v>1</v>
      </c>
      <c r="AM118" s="17">
        <f t="shared" si="50"/>
        <v>1.3604436229205175</v>
      </c>
      <c r="AN118" s="17">
        <f t="shared" si="51"/>
        <v>1.0131233595800524</v>
      </c>
      <c r="AO118" s="18">
        <f>+IFERROR(VLOOKUP(A118,[2]Rank!$B:$E,4,0),"No Ganador")</f>
        <v>7</v>
      </c>
      <c r="AP118" s="18">
        <f>+VLOOKUP(D118,[2]Departamento!$A$1:$B$16,2,0)</f>
        <v>6</v>
      </c>
      <c r="AQ118">
        <f t="shared" si="52"/>
        <v>0</v>
      </c>
    </row>
    <row r="119" spans="1:43" x14ac:dyDescent="0.3">
      <c r="A119" t="s">
        <v>302</v>
      </c>
      <c r="B119" t="s">
        <v>303</v>
      </c>
      <c r="C119" t="s">
        <v>43</v>
      </c>
      <c r="D119" t="s">
        <v>44</v>
      </c>
      <c r="E119" s="10" t="s">
        <v>45</v>
      </c>
      <c r="F119" s="10" t="s">
        <v>63</v>
      </c>
      <c r="G119" s="11">
        <v>89</v>
      </c>
      <c r="H119" s="12">
        <v>102.86363636363637</v>
      </c>
      <c r="I119" s="12">
        <f t="shared" si="30"/>
        <v>102.86363636363637</v>
      </c>
      <c r="J119" s="13">
        <f t="shared" si="53"/>
        <v>123</v>
      </c>
      <c r="K119" s="14">
        <f t="shared" si="31"/>
        <v>111</v>
      </c>
      <c r="L119" s="15">
        <v>1</v>
      </c>
      <c r="M119" s="12">
        <v>2.8181818181818183</v>
      </c>
      <c r="N119" s="12">
        <f t="shared" si="32"/>
        <v>2.8181818181818183</v>
      </c>
      <c r="O119" s="13">
        <v>4</v>
      </c>
      <c r="P119" s="16">
        <f t="shared" si="54"/>
        <v>4</v>
      </c>
      <c r="Q119" s="15">
        <f t="shared" si="33"/>
        <v>20.136363636363626</v>
      </c>
      <c r="R119" s="12">
        <f t="shared" si="34"/>
        <v>8.136363636363626</v>
      </c>
      <c r="S119" s="12">
        <f t="shared" si="35"/>
        <v>1.1818181818181817</v>
      </c>
      <c r="T119" s="12">
        <f t="shared" si="36"/>
        <v>1.1818181818181817</v>
      </c>
      <c r="U119" s="17">
        <f t="shared" si="37"/>
        <v>0.19575784357048165</v>
      </c>
      <c r="V119" s="17">
        <f t="shared" si="38"/>
        <v>7.9098541758727325E-2</v>
      </c>
      <c r="W119" s="17">
        <f t="shared" si="39"/>
        <v>0.41935483870967727</v>
      </c>
      <c r="X119" s="17">
        <f t="shared" si="40"/>
        <v>0.41935483870967727</v>
      </c>
      <c r="Y119" s="18">
        <f>+IFERROR(VLOOKUP(A119,[1]Hoja1!$A:$B,2,0),0)</f>
        <v>47</v>
      </c>
      <c r="Z119" s="18">
        <f>+IFERROR(VLOOKUP(A119,[1]Hoja1!$D:$E,2,0),0)</f>
        <v>0</v>
      </c>
      <c r="AA119" s="18">
        <f t="shared" si="41"/>
        <v>132</v>
      </c>
      <c r="AB119" s="18">
        <f t="shared" si="41"/>
        <v>0</v>
      </c>
      <c r="AC119">
        <f t="shared" si="42"/>
        <v>1</v>
      </c>
      <c r="AD119">
        <f t="shared" si="43"/>
        <v>0</v>
      </c>
      <c r="AE119">
        <f t="shared" si="44"/>
        <v>0</v>
      </c>
      <c r="AF119" s="17">
        <f t="shared" si="55"/>
        <v>0.92307692307692313</v>
      </c>
      <c r="AG119" s="17">
        <f t="shared" si="45"/>
        <v>1.0731707317073171</v>
      </c>
      <c r="AH119" s="18">
        <f t="shared" si="46"/>
        <v>252</v>
      </c>
      <c r="AI119" s="18">
        <f t="shared" si="46"/>
        <v>0</v>
      </c>
      <c r="AJ119">
        <f t="shared" si="47"/>
        <v>1</v>
      </c>
      <c r="AK119">
        <f t="shared" si="48"/>
        <v>0</v>
      </c>
      <c r="AL119">
        <f t="shared" si="49"/>
        <v>0</v>
      </c>
      <c r="AM119" s="17">
        <f t="shared" si="50"/>
        <v>0.91970802919708028</v>
      </c>
      <c r="AN119" s="17">
        <f t="shared" si="51"/>
        <v>1.0769230769230769</v>
      </c>
      <c r="AO119" s="18" t="str">
        <f>+IFERROR(VLOOKUP(A119,[2]Rank!$B:$E,4,0),"No Ganador")</f>
        <v>No Ganador</v>
      </c>
      <c r="AP119" s="18">
        <f>+VLOOKUP(D119,[2]Departamento!$A$1:$B$16,2,0)</f>
        <v>6</v>
      </c>
      <c r="AQ119">
        <f t="shared" si="52"/>
        <v>0</v>
      </c>
    </row>
    <row r="120" spans="1:43" x14ac:dyDescent="0.3">
      <c r="A120" t="s">
        <v>304</v>
      </c>
      <c r="B120" t="s">
        <v>305</v>
      </c>
      <c r="C120" t="s">
        <v>43</v>
      </c>
      <c r="D120" t="s">
        <v>44</v>
      </c>
      <c r="E120" s="10" t="s">
        <v>45</v>
      </c>
      <c r="F120" s="10" t="s">
        <v>63</v>
      </c>
      <c r="G120" s="11">
        <v>86</v>
      </c>
      <c r="H120" s="12">
        <v>100.04545454545453</v>
      </c>
      <c r="I120" s="12">
        <f t="shared" si="30"/>
        <v>100.04545454545453</v>
      </c>
      <c r="J120" s="13">
        <f t="shared" si="53"/>
        <v>120</v>
      </c>
      <c r="K120" s="14">
        <f t="shared" si="31"/>
        <v>108</v>
      </c>
      <c r="L120" s="15">
        <v>1</v>
      </c>
      <c r="M120" s="12">
        <v>0</v>
      </c>
      <c r="N120" s="12">
        <f t="shared" si="32"/>
        <v>1</v>
      </c>
      <c r="O120" s="13">
        <v>2</v>
      </c>
      <c r="P120" s="16">
        <f t="shared" si="54"/>
        <v>2</v>
      </c>
      <c r="Q120" s="15">
        <f t="shared" si="33"/>
        <v>19.954545454545467</v>
      </c>
      <c r="R120" s="12">
        <f t="shared" si="34"/>
        <v>7.9545454545454675</v>
      </c>
      <c r="S120" s="12">
        <f t="shared" si="35"/>
        <v>2</v>
      </c>
      <c r="T120" s="12">
        <f t="shared" si="36"/>
        <v>2</v>
      </c>
      <c r="U120" s="17">
        <f t="shared" si="37"/>
        <v>0.19945479327578397</v>
      </c>
      <c r="V120" s="17">
        <f t="shared" si="38"/>
        <v>7.9509313948205484E-2</v>
      </c>
      <c r="W120" s="17" t="str">
        <f t="shared" si="39"/>
        <v>-</v>
      </c>
      <c r="X120" s="17">
        <f t="shared" si="40"/>
        <v>0</v>
      </c>
      <c r="Y120" s="18">
        <f>+IFERROR(VLOOKUP(A120,[1]Hoja1!$A:$B,2,0),0)</f>
        <v>31</v>
      </c>
      <c r="Z120" s="18">
        <f>+IFERROR(VLOOKUP(A120,[1]Hoja1!$D:$E,2,0),0)</f>
        <v>1</v>
      </c>
      <c r="AA120" s="18">
        <f t="shared" si="41"/>
        <v>87</v>
      </c>
      <c r="AB120" s="18">
        <f t="shared" si="41"/>
        <v>3</v>
      </c>
      <c r="AC120">
        <f t="shared" si="42"/>
        <v>0</v>
      </c>
      <c r="AD120">
        <f t="shared" si="43"/>
        <v>1</v>
      </c>
      <c r="AE120">
        <f t="shared" si="44"/>
        <v>0</v>
      </c>
      <c r="AF120" s="17">
        <f t="shared" si="55"/>
        <v>0.7846153846153846</v>
      </c>
      <c r="AG120" s="17">
        <f t="shared" si="45"/>
        <v>0.72499999999999998</v>
      </c>
      <c r="AH120" s="18">
        <f t="shared" si="46"/>
        <v>166</v>
      </c>
      <c r="AI120" s="18">
        <f t="shared" si="46"/>
        <v>5</v>
      </c>
      <c r="AJ120">
        <f t="shared" si="47"/>
        <v>0</v>
      </c>
      <c r="AK120">
        <f t="shared" si="48"/>
        <v>1</v>
      </c>
      <c r="AL120">
        <f t="shared" si="49"/>
        <v>0</v>
      </c>
      <c r="AM120" s="17">
        <f t="shared" si="50"/>
        <v>0.77016129032258063</v>
      </c>
      <c r="AN120" s="17">
        <f t="shared" si="51"/>
        <v>0.72807017543859653</v>
      </c>
      <c r="AO120" s="18" t="str">
        <f>+IFERROR(VLOOKUP(A120,[2]Rank!$B:$E,4,0),"No Ganador")</f>
        <v>No Ganador</v>
      </c>
      <c r="AP120" s="18">
        <f>+VLOOKUP(D120,[2]Departamento!$A$1:$B$16,2,0)</f>
        <v>6</v>
      </c>
      <c r="AQ120">
        <f t="shared" si="52"/>
        <v>0</v>
      </c>
    </row>
    <row r="121" spans="1:43" x14ac:dyDescent="0.3">
      <c r="A121" t="s">
        <v>306</v>
      </c>
      <c r="B121" t="s">
        <v>307</v>
      </c>
      <c r="C121" t="s">
        <v>43</v>
      </c>
      <c r="D121" t="s">
        <v>44</v>
      </c>
      <c r="E121" s="10" t="s">
        <v>45</v>
      </c>
      <c r="F121" s="10" t="s">
        <v>46</v>
      </c>
      <c r="G121" s="11">
        <v>270</v>
      </c>
      <c r="H121" s="12">
        <v>286.0454545454545</v>
      </c>
      <c r="I121" s="12">
        <f t="shared" si="30"/>
        <v>286.0454545454545</v>
      </c>
      <c r="J121" s="13">
        <f t="shared" si="53"/>
        <v>343</v>
      </c>
      <c r="K121" s="14">
        <f t="shared" si="31"/>
        <v>310</v>
      </c>
      <c r="L121" s="15">
        <v>7</v>
      </c>
      <c r="M121" s="12">
        <v>5.6363636363636367</v>
      </c>
      <c r="N121" s="12">
        <f t="shared" si="32"/>
        <v>7</v>
      </c>
      <c r="O121" s="13">
        <v>8</v>
      </c>
      <c r="P121" s="16">
        <f t="shared" si="54"/>
        <v>7</v>
      </c>
      <c r="Q121" s="15">
        <f t="shared" si="33"/>
        <v>56.954545454545496</v>
      </c>
      <c r="R121" s="12">
        <f t="shared" si="34"/>
        <v>23.954545454545496</v>
      </c>
      <c r="S121" s="12">
        <f t="shared" si="35"/>
        <v>2.3636363636363633</v>
      </c>
      <c r="T121" s="12">
        <f t="shared" si="36"/>
        <v>1.3636363636363633</v>
      </c>
      <c r="U121" s="17">
        <f t="shared" si="37"/>
        <v>0.19911012235817593</v>
      </c>
      <c r="V121" s="17">
        <f t="shared" si="38"/>
        <v>8.374384236453225E-2</v>
      </c>
      <c r="W121" s="17">
        <f t="shared" si="39"/>
        <v>0.41935483870967727</v>
      </c>
      <c r="X121" s="17">
        <f t="shared" si="40"/>
        <v>0.24193548387096775</v>
      </c>
      <c r="Y121" s="18">
        <f>+IFERROR(VLOOKUP(A121,[1]Hoja1!$A:$B,2,0),0)</f>
        <v>190</v>
      </c>
      <c r="Z121" s="18">
        <f>+IFERROR(VLOOKUP(A121,[1]Hoja1!$D:$E,2,0),0)</f>
        <v>12</v>
      </c>
      <c r="AA121" s="18">
        <f t="shared" si="41"/>
        <v>535</v>
      </c>
      <c r="AB121" s="18">
        <f t="shared" si="41"/>
        <v>34</v>
      </c>
      <c r="AC121">
        <f t="shared" si="42"/>
        <v>1</v>
      </c>
      <c r="AD121">
        <f t="shared" si="43"/>
        <v>1</v>
      </c>
      <c r="AE121">
        <f t="shared" si="44"/>
        <v>1</v>
      </c>
      <c r="AF121" s="17">
        <f t="shared" si="55"/>
        <v>1.8407310704960835</v>
      </c>
      <c r="AG121" s="17">
        <f t="shared" si="45"/>
        <v>1.5597667638483965</v>
      </c>
      <c r="AH121" s="18">
        <f t="shared" si="46"/>
        <v>1019</v>
      </c>
      <c r="AI121" s="18">
        <f t="shared" si="46"/>
        <v>64</v>
      </c>
      <c r="AJ121">
        <f t="shared" si="47"/>
        <v>1</v>
      </c>
      <c r="AK121">
        <f t="shared" si="48"/>
        <v>1</v>
      </c>
      <c r="AL121">
        <f t="shared" si="49"/>
        <v>1</v>
      </c>
      <c r="AM121" s="17">
        <f t="shared" si="50"/>
        <v>1.8392857142857142</v>
      </c>
      <c r="AN121" s="17">
        <f t="shared" si="51"/>
        <v>1.560490045941807</v>
      </c>
      <c r="AO121" s="18">
        <f>+IFERROR(VLOOKUP(A121,[2]Rank!$B:$E,4,0),"No Ganador")</f>
        <v>2</v>
      </c>
      <c r="AP121" s="18">
        <f>+VLOOKUP(D121,[2]Departamento!$A$1:$B$16,2,0)</f>
        <v>6</v>
      </c>
      <c r="AQ121">
        <f t="shared" si="52"/>
        <v>1</v>
      </c>
    </row>
    <row r="122" spans="1:43" x14ac:dyDescent="0.3">
      <c r="A122" t="s">
        <v>308</v>
      </c>
      <c r="B122" t="s">
        <v>309</v>
      </c>
      <c r="C122" t="s">
        <v>43</v>
      </c>
      <c r="D122" t="s">
        <v>44</v>
      </c>
      <c r="E122" s="10" t="s">
        <v>45</v>
      </c>
      <c r="F122" s="10" t="s">
        <v>63</v>
      </c>
      <c r="G122" s="11">
        <v>232</v>
      </c>
      <c r="H122" s="12">
        <v>248</v>
      </c>
      <c r="I122" s="12">
        <f t="shared" si="30"/>
        <v>248</v>
      </c>
      <c r="J122" s="13">
        <f t="shared" si="53"/>
        <v>298</v>
      </c>
      <c r="K122" s="14">
        <f t="shared" si="31"/>
        <v>269</v>
      </c>
      <c r="L122" s="15">
        <v>11</v>
      </c>
      <c r="M122" s="12">
        <v>5.6363636363636367</v>
      </c>
      <c r="N122" s="12">
        <f t="shared" si="32"/>
        <v>11</v>
      </c>
      <c r="O122" s="13">
        <v>13</v>
      </c>
      <c r="P122" s="16">
        <f t="shared" si="54"/>
        <v>12</v>
      </c>
      <c r="Q122" s="15">
        <f t="shared" si="33"/>
        <v>50</v>
      </c>
      <c r="R122" s="12">
        <f t="shared" si="34"/>
        <v>21</v>
      </c>
      <c r="S122" s="12">
        <f t="shared" si="35"/>
        <v>7.3636363636363633</v>
      </c>
      <c r="T122" s="12">
        <f t="shared" si="36"/>
        <v>6.3636363636363633</v>
      </c>
      <c r="U122" s="17">
        <f t="shared" si="37"/>
        <v>0.20161290322580649</v>
      </c>
      <c r="V122" s="17">
        <f t="shared" si="38"/>
        <v>8.4677419354838745E-2</v>
      </c>
      <c r="W122" s="17">
        <f t="shared" si="39"/>
        <v>1.3064516129032255</v>
      </c>
      <c r="X122" s="17">
        <f t="shared" si="40"/>
        <v>1.129032258064516</v>
      </c>
      <c r="Y122" s="18">
        <f>+IFERROR(VLOOKUP(A122,[1]Hoja1!$A:$B,2,0),0)</f>
        <v>77</v>
      </c>
      <c r="Z122" s="18">
        <f>+IFERROR(VLOOKUP(A122,[1]Hoja1!$D:$E,2,0),0)</f>
        <v>5</v>
      </c>
      <c r="AA122" s="18">
        <f t="shared" si="41"/>
        <v>217</v>
      </c>
      <c r="AB122" s="18">
        <f t="shared" si="41"/>
        <v>14</v>
      </c>
      <c r="AC122">
        <f t="shared" si="42"/>
        <v>0</v>
      </c>
      <c r="AD122">
        <f t="shared" si="43"/>
        <v>1</v>
      </c>
      <c r="AE122">
        <f t="shared" si="44"/>
        <v>0</v>
      </c>
      <c r="AF122" s="17">
        <f t="shared" si="55"/>
        <v>0.79063360881542699</v>
      </c>
      <c r="AG122" s="17">
        <f t="shared" si="45"/>
        <v>0.72818791946308725</v>
      </c>
      <c r="AH122" s="18">
        <f t="shared" si="46"/>
        <v>413</v>
      </c>
      <c r="AI122" s="18">
        <f t="shared" si="46"/>
        <v>27</v>
      </c>
      <c r="AJ122">
        <f t="shared" si="47"/>
        <v>0</v>
      </c>
      <c r="AK122">
        <f t="shared" si="48"/>
        <v>1</v>
      </c>
      <c r="AL122">
        <f t="shared" si="49"/>
        <v>0</v>
      </c>
      <c r="AM122" s="17">
        <f t="shared" si="50"/>
        <v>0.79190751445086704</v>
      </c>
      <c r="AN122" s="17">
        <f t="shared" si="51"/>
        <v>0.72839506172839508</v>
      </c>
      <c r="AO122" s="18" t="str">
        <f>+IFERROR(VLOOKUP(A122,[2]Rank!$B:$E,4,0),"No Ganador")</f>
        <v>No Ganador</v>
      </c>
      <c r="AP122" s="18">
        <f>+VLOOKUP(D122,[2]Departamento!$A$1:$B$16,2,0)</f>
        <v>6</v>
      </c>
      <c r="AQ122">
        <f t="shared" si="52"/>
        <v>0</v>
      </c>
    </row>
    <row r="123" spans="1:43" x14ac:dyDescent="0.3">
      <c r="A123" t="s">
        <v>310</v>
      </c>
      <c r="B123" t="s">
        <v>311</v>
      </c>
      <c r="C123" t="s">
        <v>43</v>
      </c>
      <c r="D123" t="s">
        <v>90</v>
      </c>
      <c r="E123" s="10" t="s">
        <v>69</v>
      </c>
      <c r="F123" s="10" t="s">
        <v>75</v>
      </c>
      <c r="G123" s="11">
        <v>71</v>
      </c>
      <c r="H123" s="12">
        <v>87.363636363636374</v>
      </c>
      <c r="I123" s="12">
        <f t="shared" si="30"/>
        <v>87.363636363636374</v>
      </c>
      <c r="J123" s="13">
        <f t="shared" si="53"/>
        <v>105</v>
      </c>
      <c r="K123" s="14">
        <f t="shared" si="31"/>
        <v>95</v>
      </c>
      <c r="L123" s="15">
        <v>10</v>
      </c>
      <c r="M123" s="12">
        <v>12.681818181818183</v>
      </c>
      <c r="N123" s="12">
        <f t="shared" si="32"/>
        <v>12.681818181818183</v>
      </c>
      <c r="O123" s="13">
        <v>15</v>
      </c>
      <c r="P123" s="16">
        <f t="shared" si="54"/>
        <v>14</v>
      </c>
      <c r="Q123" s="15">
        <f t="shared" si="33"/>
        <v>17.636363636363626</v>
      </c>
      <c r="R123" s="12">
        <f t="shared" si="34"/>
        <v>7.636363636363626</v>
      </c>
      <c r="S123" s="12">
        <f t="shared" si="35"/>
        <v>2.3181818181818166</v>
      </c>
      <c r="T123" s="12">
        <f t="shared" si="36"/>
        <v>1.3181818181818166</v>
      </c>
      <c r="U123" s="17">
        <f t="shared" si="37"/>
        <v>0.20187304890738789</v>
      </c>
      <c r="V123" s="17">
        <f t="shared" si="38"/>
        <v>8.7408949011446246E-2</v>
      </c>
      <c r="W123" s="17">
        <f t="shared" si="39"/>
        <v>0.18279569892473102</v>
      </c>
      <c r="X123" s="17">
        <f t="shared" si="40"/>
        <v>0.10394265232974886</v>
      </c>
      <c r="Y123" s="18">
        <f>+IFERROR(VLOOKUP(A123,[1]Hoja1!$A:$B,2,0),0)</f>
        <v>14</v>
      </c>
      <c r="Z123" s="18">
        <f>+IFERROR(VLOOKUP(A123,[1]Hoja1!$D:$E,2,0),0)</f>
        <v>7</v>
      </c>
      <c r="AA123" s="18">
        <f t="shared" si="41"/>
        <v>39</v>
      </c>
      <c r="AB123" s="18">
        <f t="shared" si="41"/>
        <v>20</v>
      </c>
      <c r="AC123">
        <f t="shared" si="42"/>
        <v>0</v>
      </c>
      <c r="AD123">
        <f t="shared" si="43"/>
        <v>1</v>
      </c>
      <c r="AE123">
        <f t="shared" si="44"/>
        <v>0</v>
      </c>
      <c r="AF123" s="17">
        <f t="shared" si="55"/>
        <v>0.77222222222222225</v>
      </c>
      <c r="AG123" s="17">
        <f t="shared" si="45"/>
        <v>0.37142857142857144</v>
      </c>
      <c r="AH123" s="18">
        <f t="shared" si="46"/>
        <v>75</v>
      </c>
      <c r="AI123" s="18">
        <f t="shared" si="46"/>
        <v>38</v>
      </c>
      <c r="AJ123">
        <f t="shared" si="47"/>
        <v>0</v>
      </c>
      <c r="AK123">
        <f t="shared" si="48"/>
        <v>1</v>
      </c>
      <c r="AL123">
        <f t="shared" si="49"/>
        <v>0</v>
      </c>
      <c r="AM123" s="17">
        <f t="shared" si="50"/>
        <v>0.76811594202898548</v>
      </c>
      <c r="AN123" s="17">
        <f t="shared" si="51"/>
        <v>0.375</v>
      </c>
      <c r="AO123" s="18" t="str">
        <f>+IFERROR(VLOOKUP(A123,[2]Rank!$B:$E,4,0),"No Ganador")</f>
        <v>No Ganador</v>
      </c>
      <c r="AP123" s="18">
        <f>+VLOOKUP(D123,[2]Departamento!$A$1:$B$16,2,0)</f>
        <v>2</v>
      </c>
      <c r="AQ123">
        <f t="shared" si="52"/>
        <v>0</v>
      </c>
    </row>
    <row r="124" spans="1:43" x14ac:dyDescent="0.3">
      <c r="A124" t="s">
        <v>312</v>
      </c>
      <c r="B124" t="s">
        <v>313</v>
      </c>
      <c r="C124" t="s">
        <v>43</v>
      </c>
      <c r="D124" t="s">
        <v>78</v>
      </c>
      <c r="E124" s="10" t="s">
        <v>50</v>
      </c>
      <c r="F124" s="10" t="s">
        <v>51</v>
      </c>
      <c r="G124" s="11">
        <v>300</v>
      </c>
      <c r="H124" s="12">
        <v>317.0454545454545</v>
      </c>
      <c r="I124" s="12">
        <f t="shared" si="30"/>
        <v>317.0454545454545</v>
      </c>
      <c r="J124" s="13">
        <f t="shared" si="53"/>
        <v>380</v>
      </c>
      <c r="K124" s="14">
        <f t="shared" si="31"/>
        <v>343</v>
      </c>
      <c r="L124" s="15">
        <v>8</v>
      </c>
      <c r="M124" s="12">
        <v>9.8636363636363633</v>
      </c>
      <c r="N124" s="12">
        <f t="shared" si="32"/>
        <v>9.8636363636363633</v>
      </c>
      <c r="O124" s="13">
        <v>12</v>
      </c>
      <c r="P124" s="16">
        <f t="shared" si="54"/>
        <v>11</v>
      </c>
      <c r="Q124" s="15">
        <f t="shared" si="33"/>
        <v>62.954545454545496</v>
      </c>
      <c r="R124" s="12">
        <f t="shared" si="34"/>
        <v>25.954545454545496</v>
      </c>
      <c r="S124" s="12">
        <f t="shared" si="35"/>
        <v>2.1363636363636367</v>
      </c>
      <c r="T124" s="12">
        <f t="shared" si="36"/>
        <v>1.1363636363636367</v>
      </c>
      <c r="U124" s="17">
        <f t="shared" si="37"/>
        <v>0.19856630824372767</v>
      </c>
      <c r="V124" s="17">
        <f t="shared" si="38"/>
        <v>8.1863799283154348E-2</v>
      </c>
      <c r="W124" s="17">
        <f t="shared" si="39"/>
        <v>0.21658986175115214</v>
      </c>
      <c r="X124" s="17">
        <f t="shared" si="40"/>
        <v>0.11520737327188946</v>
      </c>
      <c r="Y124" s="18">
        <f>+IFERROR(VLOOKUP(A124,[1]Hoja1!$A:$B,2,0),0)</f>
        <v>86</v>
      </c>
      <c r="Z124" s="18">
        <f>+IFERROR(VLOOKUP(A124,[1]Hoja1!$D:$E,2,0),0)</f>
        <v>8</v>
      </c>
      <c r="AA124" s="18">
        <f t="shared" si="41"/>
        <v>242</v>
      </c>
      <c r="AB124" s="18">
        <f t="shared" si="41"/>
        <v>23</v>
      </c>
      <c r="AC124">
        <f t="shared" si="42"/>
        <v>0</v>
      </c>
      <c r="AD124">
        <f t="shared" si="43"/>
        <v>1</v>
      </c>
      <c r="AE124">
        <f t="shared" si="44"/>
        <v>0</v>
      </c>
      <c r="AF124" s="17">
        <f t="shared" si="55"/>
        <v>0.8113636363636364</v>
      </c>
      <c r="AG124" s="17">
        <f t="shared" si="45"/>
        <v>0.63684210526315788</v>
      </c>
      <c r="AH124" s="18">
        <f t="shared" si="46"/>
        <v>461</v>
      </c>
      <c r="AI124" s="18">
        <f t="shared" si="46"/>
        <v>43</v>
      </c>
      <c r="AJ124">
        <f t="shared" si="47"/>
        <v>0</v>
      </c>
      <c r="AK124">
        <f t="shared" si="48"/>
        <v>1</v>
      </c>
      <c r="AL124">
        <f t="shared" si="49"/>
        <v>0</v>
      </c>
      <c r="AM124" s="17">
        <f t="shared" si="50"/>
        <v>0.80668257756563244</v>
      </c>
      <c r="AN124" s="17">
        <f t="shared" si="51"/>
        <v>0.63762102351313965</v>
      </c>
      <c r="AO124" s="18" t="str">
        <f>+IFERROR(VLOOKUP(A124,[2]Rank!$B:$E,4,0),"No Ganador")</f>
        <v>No Ganador</v>
      </c>
      <c r="AP124" s="18">
        <f>+VLOOKUP(D124,[2]Departamento!$A$1:$B$16,2,0)</f>
        <v>1</v>
      </c>
      <c r="AQ124">
        <f t="shared" si="52"/>
        <v>0</v>
      </c>
    </row>
    <row r="125" spans="1:43" x14ac:dyDescent="0.3">
      <c r="A125" t="s">
        <v>314</v>
      </c>
      <c r="B125" t="s">
        <v>315</v>
      </c>
      <c r="C125" t="s">
        <v>43</v>
      </c>
      <c r="D125" t="s">
        <v>44</v>
      </c>
      <c r="E125" s="10" t="s">
        <v>45</v>
      </c>
      <c r="F125" s="10" t="s">
        <v>46</v>
      </c>
      <c r="G125" s="11">
        <v>94</v>
      </c>
      <c r="H125" s="12">
        <v>111.31818181818181</v>
      </c>
      <c r="I125" s="12">
        <f t="shared" si="30"/>
        <v>111.31818181818181</v>
      </c>
      <c r="J125" s="13">
        <f t="shared" si="53"/>
        <v>134</v>
      </c>
      <c r="K125" s="14">
        <f t="shared" si="31"/>
        <v>121</v>
      </c>
      <c r="L125" s="15">
        <v>9</v>
      </c>
      <c r="M125" s="12">
        <v>2.8181818181818183</v>
      </c>
      <c r="N125" s="12">
        <f t="shared" si="32"/>
        <v>9</v>
      </c>
      <c r="O125" s="13">
        <v>11</v>
      </c>
      <c r="P125" s="16">
        <f t="shared" si="54"/>
        <v>10</v>
      </c>
      <c r="Q125" s="15">
        <f t="shared" si="33"/>
        <v>22.681818181818187</v>
      </c>
      <c r="R125" s="12">
        <f t="shared" si="34"/>
        <v>9.681818181818187</v>
      </c>
      <c r="S125" s="12">
        <f t="shared" si="35"/>
        <v>8.1818181818181817</v>
      </c>
      <c r="T125" s="12">
        <f t="shared" si="36"/>
        <v>7.1818181818181817</v>
      </c>
      <c r="U125" s="17">
        <f t="shared" si="37"/>
        <v>0.20375663536137201</v>
      </c>
      <c r="V125" s="17">
        <f t="shared" si="38"/>
        <v>8.6974275214373176E-2</v>
      </c>
      <c r="W125" s="17">
        <f t="shared" si="39"/>
        <v>2.9032258064516125</v>
      </c>
      <c r="X125" s="17">
        <f t="shared" si="40"/>
        <v>2.5483870967741935</v>
      </c>
      <c r="Y125" s="18">
        <f>+IFERROR(VLOOKUP(A125,[1]Hoja1!$A:$B,2,0),0)</f>
        <v>77</v>
      </c>
      <c r="Z125" s="18">
        <f>+IFERROR(VLOOKUP(A125,[1]Hoja1!$D:$E,2,0),0)</f>
        <v>8</v>
      </c>
      <c r="AA125" s="18">
        <f t="shared" si="41"/>
        <v>217</v>
      </c>
      <c r="AB125" s="18">
        <f t="shared" si="41"/>
        <v>23</v>
      </c>
      <c r="AC125">
        <f t="shared" si="42"/>
        <v>1</v>
      </c>
      <c r="AD125">
        <f t="shared" si="43"/>
        <v>1</v>
      </c>
      <c r="AE125">
        <f t="shared" si="44"/>
        <v>1</v>
      </c>
      <c r="AF125" s="17">
        <f t="shared" si="55"/>
        <v>1.7566137566137565</v>
      </c>
      <c r="AG125" s="17">
        <f t="shared" si="45"/>
        <v>1.6194029850746268</v>
      </c>
      <c r="AH125" s="18">
        <f t="shared" si="46"/>
        <v>413</v>
      </c>
      <c r="AI125" s="18">
        <f t="shared" si="46"/>
        <v>43</v>
      </c>
      <c r="AJ125">
        <f t="shared" si="47"/>
        <v>1</v>
      </c>
      <c r="AK125">
        <f t="shared" si="48"/>
        <v>1</v>
      </c>
      <c r="AL125">
        <f t="shared" si="49"/>
        <v>1</v>
      </c>
      <c r="AM125" s="17">
        <f t="shared" si="50"/>
        <v>1.7444444444444445</v>
      </c>
      <c r="AN125" s="17">
        <f t="shared" si="51"/>
        <v>1.6196078431372549</v>
      </c>
      <c r="AO125" s="18">
        <f>+IFERROR(VLOOKUP(A125,[2]Rank!$B:$E,4,0),"No Ganador")</f>
        <v>3</v>
      </c>
      <c r="AP125" s="18">
        <f>+VLOOKUP(D125,[2]Departamento!$A$1:$B$16,2,0)</f>
        <v>6</v>
      </c>
      <c r="AQ125">
        <f t="shared" si="52"/>
        <v>1</v>
      </c>
    </row>
    <row r="126" spans="1:43" x14ac:dyDescent="0.3">
      <c r="A126" t="s">
        <v>316</v>
      </c>
      <c r="B126" t="s">
        <v>317</v>
      </c>
      <c r="C126" t="s">
        <v>43</v>
      </c>
      <c r="D126" t="s">
        <v>44</v>
      </c>
      <c r="E126" s="10" t="s">
        <v>45</v>
      </c>
      <c r="F126" s="10" t="s">
        <v>63</v>
      </c>
      <c r="G126" s="11">
        <v>250</v>
      </c>
      <c r="H126" s="12">
        <v>277.59090909090912</v>
      </c>
      <c r="I126" s="12">
        <f t="shared" si="30"/>
        <v>277.59090909090912</v>
      </c>
      <c r="J126" s="13">
        <f t="shared" si="53"/>
        <v>333</v>
      </c>
      <c r="K126" s="14">
        <f t="shared" si="31"/>
        <v>301</v>
      </c>
      <c r="L126" s="15">
        <v>3</v>
      </c>
      <c r="M126" s="12">
        <v>0</v>
      </c>
      <c r="N126" s="12">
        <f t="shared" si="32"/>
        <v>3</v>
      </c>
      <c r="O126" s="13">
        <v>3</v>
      </c>
      <c r="P126" s="16">
        <v>3</v>
      </c>
      <c r="Q126" s="15">
        <f t="shared" si="33"/>
        <v>55.409090909090878</v>
      </c>
      <c r="R126" s="12">
        <f t="shared" si="34"/>
        <v>23.409090909090878</v>
      </c>
      <c r="S126" s="12">
        <f t="shared" si="35"/>
        <v>3</v>
      </c>
      <c r="T126" s="12">
        <f t="shared" si="36"/>
        <v>3</v>
      </c>
      <c r="U126" s="17">
        <f t="shared" si="37"/>
        <v>0.19960700835107237</v>
      </c>
      <c r="V126" s="17">
        <f t="shared" si="38"/>
        <v>8.4329457999017476E-2</v>
      </c>
      <c r="W126" s="17" t="str">
        <f t="shared" si="39"/>
        <v>-</v>
      </c>
      <c r="X126" s="17">
        <f t="shared" si="40"/>
        <v>0</v>
      </c>
      <c r="Y126" s="18">
        <f>+IFERROR(VLOOKUP(A126,[1]Hoja1!$A:$B,2,0),0)</f>
        <v>10</v>
      </c>
      <c r="Z126" s="18">
        <f>+IFERROR(VLOOKUP(A126,[1]Hoja1!$D:$E,2,0),0)</f>
        <v>0</v>
      </c>
      <c r="AA126" s="18">
        <f t="shared" si="41"/>
        <v>28</v>
      </c>
      <c r="AB126" s="18">
        <f t="shared" si="41"/>
        <v>0</v>
      </c>
      <c r="AC126">
        <f t="shared" si="42"/>
        <v>0</v>
      </c>
      <c r="AD126">
        <f t="shared" si="43"/>
        <v>0</v>
      </c>
      <c r="AE126">
        <f t="shared" si="44"/>
        <v>0</v>
      </c>
      <c r="AF126" s="17">
        <f t="shared" si="55"/>
        <v>8.0459770114942528E-2</v>
      </c>
      <c r="AG126" s="17">
        <f t="shared" si="45"/>
        <v>8.408408408408409E-2</v>
      </c>
      <c r="AH126" s="18">
        <f t="shared" si="46"/>
        <v>54</v>
      </c>
      <c r="AI126" s="18">
        <f t="shared" si="46"/>
        <v>0</v>
      </c>
      <c r="AJ126">
        <f t="shared" si="47"/>
        <v>0</v>
      </c>
      <c r="AK126">
        <f t="shared" si="48"/>
        <v>0</v>
      </c>
      <c r="AL126">
        <f t="shared" si="49"/>
        <v>0</v>
      </c>
      <c r="AM126" s="17">
        <f t="shared" si="50"/>
        <v>8.1325301204819275E-2</v>
      </c>
      <c r="AN126" s="17">
        <f t="shared" si="51"/>
        <v>8.5173501577287064E-2</v>
      </c>
      <c r="AO126" s="18" t="str">
        <f>+IFERROR(VLOOKUP(A126,[2]Rank!$B:$E,4,0),"No Ganador")</f>
        <v>No Ganador</v>
      </c>
      <c r="AP126" s="18">
        <f>+VLOOKUP(D126,[2]Departamento!$A$1:$B$16,2,0)</f>
        <v>6</v>
      </c>
      <c r="AQ126">
        <f t="shared" si="52"/>
        <v>0</v>
      </c>
    </row>
    <row r="127" spans="1:43" x14ac:dyDescent="0.3">
      <c r="A127" t="s">
        <v>318</v>
      </c>
      <c r="B127" t="s">
        <v>319</v>
      </c>
      <c r="C127" t="s">
        <v>43</v>
      </c>
      <c r="D127" t="s">
        <v>44</v>
      </c>
      <c r="E127" s="10" t="s">
        <v>45</v>
      </c>
      <c r="F127" s="10" t="s">
        <v>46</v>
      </c>
      <c r="G127" s="11">
        <v>199</v>
      </c>
      <c r="H127" s="12">
        <v>219.81818181818181</v>
      </c>
      <c r="I127" s="12">
        <f t="shared" si="30"/>
        <v>219.81818181818181</v>
      </c>
      <c r="J127" s="13">
        <f t="shared" si="53"/>
        <v>264</v>
      </c>
      <c r="K127" s="14">
        <f t="shared" si="31"/>
        <v>238</v>
      </c>
      <c r="L127" s="15">
        <v>4</v>
      </c>
      <c r="M127" s="12">
        <v>4.2272727272727266</v>
      </c>
      <c r="N127" s="12">
        <f t="shared" si="32"/>
        <v>4.2272727272727266</v>
      </c>
      <c r="O127" s="13">
        <v>5</v>
      </c>
      <c r="P127" s="16">
        <f t="shared" si="54"/>
        <v>5</v>
      </c>
      <c r="Q127" s="15">
        <f t="shared" si="33"/>
        <v>44.181818181818187</v>
      </c>
      <c r="R127" s="12">
        <f t="shared" si="34"/>
        <v>18.181818181818187</v>
      </c>
      <c r="S127" s="12">
        <f t="shared" si="35"/>
        <v>0.77272727272727337</v>
      </c>
      <c r="T127" s="12">
        <f t="shared" si="36"/>
        <v>0.77272727272727337</v>
      </c>
      <c r="U127" s="17">
        <f t="shared" si="37"/>
        <v>0.20099255583126552</v>
      </c>
      <c r="V127" s="17">
        <f t="shared" si="38"/>
        <v>8.2712985938792505E-2</v>
      </c>
      <c r="W127" s="17">
        <f t="shared" si="39"/>
        <v>0.18279569892473146</v>
      </c>
      <c r="X127" s="17">
        <f t="shared" si="40"/>
        <v>0.18279569892473146</v>
      </c>
      <c r="Y127" s="18">
        <f>+IFERROR(VLOOKUP(A127,[1]Hoja1!$A:$B,2,0),0)</f>
        <v>78</v>
      </c>
      <c r="Z127" s="18">
        <f>+IFERROR(VLOOKUP(A127,[1]Hoja1!$D:$E,2,0),0)</f>
        <v>4</v>
      </c>
      <c r="AA127" s="18">
        <f t="shared" si="41"/>
        <v>220</v>
      </c>
      <c r="AB127" s="18">
        <f t="shared" si="41"/>
        <v>11</v>
      </c>
      <c r="AC127">
        <f t="shared" si="42"/>
        <v>0</v>
      </c>
      <c r="AD127">
        <f t="shared" si="43"/>
        <v>1</v>
      </c>
      <c r="AE127">
        <f t="shared" si="44"/>
        <v>0</v>
      </c>
      <c r="AF127" s="17">
        <f t="shared" si="55"/>
        <v>0.95155709342560557</v>
      </c>
      <c r="AG127" s="17">
        <f t="shared" si="45"/>
        <v>0.83333333333333337</v>
      </c>
      <c r="AH127" s="18">
        <f t="shared" si="46"/>
        <v>418</v>
      </c>
      <c r="AI127" s="18">
        <f t="shared" si="46"/>
        <v>21</v>
      </c>
      <c r="AJ127">
        <f t="shared" si="47"/>
        <v>0</v>
      </c>
      <c r="AK127">
        <f t="shared" si="48"/>
        <v>1</v>
      </c>
      <c r="AL127">
        <f t="shared" si="49"/>
        <v>0</v>
      </c>
      <c r="AM127" s="17">
        <f t="shared" si="50"/>
        <v>0.94746376811594202</v>
      </c>
      <c r="AN127" s="17">
        <f t="shared" si="51"/>
        <v>0.83266932270916338</v>
      </c>
      <c r="AO127" s="18" t="str">
        <f>+IFERROR(VLOOKUP(A127,[2]Rank!$B:$E,4,0),"No Ganador")</f>
        <v>No Ganador</v>
      </c>
      <c r="AP127" s="18">
        <f>+VLOOKUP(D127,[2]Departamento!$A$1:$B$16,2,0)</f>
        <v>6</v>
      </c>
      <c r="AQ127">
        <f t="shared" si="52"/>
        <v>0</v>
      </c>
    </row>
    <row r="128" spans="1:43" x14ac:dyDescent="0.3">
      <c r="A128" t="s">
        <v>320</v>
      </c>
      <c r="B128" t="s">
        <v>321</v>
      </c>
      <c r="C128" t="s">
        <v>43</v>
      </c>
      <c r="D128" t="s">
        <v>99</v>
      </c>
      <c r="E128" s="10" t="s">
        <v>57</v>
      </c>
      <c r="F128" s="10" t="s">
        <v>46</v>
      </c>
      <c r="G128" s="11">
        <v>190</v>
      </c>
      <c r="H128" s="12">
        <v>208.54545454545456</v>
      </c>
      <c r="I128" s="12">
        <f t="shared" si="30"/>
        <v>208.54545454545456</v>
      </c>
      <c r="J128" s="13">
        <f t="shared" si="53"/>
        <v>250</v>
      </c>
      <c r="K128" s="14">
        <f t="shared" si="31"/>
        <v>226</v>
      </c>
      <c r="L128" s="15">
        <v>20</v>
      </c>
      <c r="M128" s="12">
        <v>11.272727272727273</v>
      </c>
      <c r="N128" s="12">
        <f t="shared" si="32"/>
        <v>20</v>
      </c>
      <c r="O128" s="13">
        <v>24</v>
      </c>
      <c r="P128" s="16">
        <f t="shared" si="54"/>
        <v>22</v>
      </c>
      <c r="Q128" s="15">
        <f t="shared" si="33"/>
        <v>41.454545454545439</v>
      </c>
      <c r="R128" s="12">
        <f t="shared" si="34"/>
        <v>17.454545454545439</v>
      </c>
      <c r="S128" s="12">
        <f t="shared" si="35"/>
        <v>12.727272727272727</v>
      </c>
      <c r="T128" s="12">
        <f t="shared" si="36"/>
        <v>10.727272727272727</v>
      </c>
      <c r="U128" s="17">
        <f t="shared" si="37"/>
        <v>0.19877942458587605</v>
      </c>
      <c r="V128" s="17">
        <f t="shared" si="38"/>
        <v>8.3696599825632045E-2</v>
      </c>
      <c r="W128" s="17">
        <f t="shared" si="39"/>
        <v>1.129032258064516</v>
      </c>
      <c r="X128" s="17">
        <f t="shared" si="40"/>
        <v>0.95161290322580627</v>
      </c>
      <c r="Y128" s="18">
        <f>+IFERROR(VLOOKUP(A128,[1]Hoja1!$A:$B,2,0),0)</f>
        <v>118</v>
      </c>
      <c r="Z128" s="18">
        <f>+IFERROR(VLOOKUP(A128,[1]Hoja1!$D:$E,2,0),0)</f>
        <v>12</v>
      </c>
      <c r="AA128" s="18">
        <f t="shared" si="41"/>
        <v>333</v>
      </c>
      <c r="AB128" s="18">
        <f t="shared" si="41"/>
        <v>34</v>
      </c>
      <c r="AC128">
        <f t="shared" si="42"/>
        <v>1</v>
      </c>
      <c r="AD128">
        <f t="shared" si="43"/>
        <v>1</v>
      </c>
      <c r="AE128">
        <f t="shared" si="44"/>
        <v>1</v>
      </c>
      <c r="AF128" s="17">
        <f t="shared" si="55"/>
        <v>1.3594594594594596</v>
      </c>
      <c r="AG128" s="17">
        <f t="shared" si="45"/>
        <v>1.3320000000000001</v>
      </c>
      <c r="AH128" s="18">
        <f t="shared" si="46"/>
        <v>633</v>
      </c>
      <c r="AI128" s="18">
        <f t="shared" si="46"/>
        <v>64</v>
      </c>
      <c r="AJ128">
        <f t="shared" si="47"/>
        <v>1</v>
      </c>
      <c r="AK128">
        <f t="shared" si="48"/>
        <v>1</v>
      </c>
      <c r="AL128">
        <f t="shared" si="49"/>
        <v>1</v>
      </c>
      <c r="AM128" s="17">
        <f t="shared" si="50"/>
        <v>1.3498583569405098</v>
      </c>
      <c r="AN128" s="17">
        <f t="shared" si="51"/>
        <v>1.3298319327731092</v>
      </c>
      <c r="AO128" s="18">
        <f>+IFERROR(VLOOKUP(A128,[2]Rank!$B:$E,4,0),"No Ganador")</f>
        <v>3</v>
      </c>
      <c r="AP128" s="18">
        <f>+VLOOKUP(D128,[2]Departamento!$A$1:$B$16,2,0)</f>
        <v>2</v>
      </c>
      <c r="AQ128">
        <f t="shared" si="52"/>
        <v>0</v>
      </c>
    </row>
    <row r="129" spans="1:43" x14ac:dyDescent="0.3">
      <c r="A129" t="s">
        <v>322</v>
      </c>
      <c r="B129" t="s">
        <v>323</v>
      </c>
      <c r="C129" t="s">
        <v>43</v>
      </c>
      <c r="D129" t="s">
        <v>56</v>
      </c>
      <c r="E129" s="10" t="s">
        <v>57</v>
      </c>
      <c r="F129" s="10" t="s">
        <v>58</v>
      </c>
      <c r="G129" s="11">
        <v>71</v>
      </c>
      <c r="H129" s="12">
        <v>88.77272727272728</v>
      </c>
      <c r="I129" s="12">
        <f t="shared" si="30"/>
        <v>88.77272727272728</v>
      </c>
      <c r="J129" s="13">
        <f t="shared" si="53"/>
        <v>107</v>
      </c>
      <c r="K129" s="14">
        <f t="shared" si="31"/>
        <v>97</v>
      </c>
      <c r="L129" s="15">
        <v>10</v>
      </c>
      <c r="M129" s="12">
        <v>9.8636363636363633</v>
      </c>
      <c r="N129" s="12">
        <f t="shared" si="32"/>
        <v>10</v>
      </c>
      <c r="O129" s="13">
        <v>12</v>
      </c>
      <c r="P129" s="16">
        <f t="shared" si="54"/>
        <v>11</v>
      </c>
      <c r="Q129" s="15">
        <f t="shared" si="33"/>
        <v>18.22727272727272</v>
      </c>
      <c r="R129" s="12">
        <f t="shared" si="34"/>
        <v>8.2272727272727195</v>
      </c>
      <c r="S129" s="12">
        <f t="shared" si="35"/>
        <v>2.1363636363636367</v>
      </c>
      <c r="T129" s="12">
        <f t="shared" si="36"/>
        <v>1.1363636363636367</v>
      </c>
      <c r="U129" s="17">
        <f t="shared" si="37"/>
        <v>0.20532514080901176</v>
      </c>
      <c r="V129" s="17">
        <f t="shared" si="38"/>
        <v>9.2677931387608714E-2</v>
      </c>
      <c r="W129" s="17">
        <f t="shared" si="39"/>
        <v>0.21658986175115214</v>
      </c>
      <c r="X129" s="17">
        <f t="shared" si="40"/>
        <v>0.11520737327188946</v>
      </c>
      <c r="Y129" s="18">
        <f>+IFERROR(VLOOKUP(A129,[1]Hoja1!$A:$B,2,0),0)</f>
        <v>0</v>
      </c>
      <c r="Z129" s="18">
        <f>+IFERROR(VLOOKUP(A129,[1]Hoja1!$D:$E,2,0),0)</f>
        <v>0</v>
      </c>
      <c r="AA129" s="18">
        <f t="shared" si="41"/>
        <v>0</v>
      </c>
      <c r="AB129" s="18">
        <f t="shared" si="41"/>
        <v>0</v>
      </c>
      <c r="AC129">
        <f t="shared" si="42"/>
        <v>0</v>
      </c>
      <c r="AD129">
        <f t="shared" si="43"/>
        <v>0</v>
      </c>
      <c r="AE129">
        <f t="shared" si="44"/>
        <v>0</v>
      </c>
      <c r="AF129" s="17">
        <f t="shared" si="55"/>
        <v>0</v>
      </c>
      <c r="AG129" s="17">
        <f t="shared" si="45"/>
        <v>0</v>
      </c>
      <c r="AH129" s="18">
        <f t="shared" si="46"/>
        <v>0</v>
      </c>
      <c r="AI129" s="18">
        <f t="shared" si="46"/>
        <v>0</v>
      </c>
      <c r="AJ129">
        <f t="shared" si="47"/>
        <v>0</v>
      </c>
      <c r="AK129">
        <f t="shared" si="48"/>
        <v>0</v>
      </c>
      <c r="AL129">
        <f t="shared" si="49"/>
        <v>0</v>
      </c>
      <c r="AM129" s="17">
        <f t="shared" si="50"/>
        <v>0</v>
      </c>
      <c r="AN129" s="17">
        <f t="shared" si="51"/>
        <v>0</v>
      </c>
      <c r="AO129" s="18" t="str">
        <f>+IFERROR(VLOOKUP(A129,[2]Rank!$B:$E,4,0),"No Ganador")</f>
        <v>No Ganador</v>
      </c>
      <c r="AP129" s="18">
        <f>+VLOOKUP(D129,[2]Departamento!$A$1:$B$16,2,0)</f>
        <v>2</v>
      </c>
      <c r="AQ129">
        <f t="shared" si="52"/>
        <v>0</v>
      </c>
    </row>
    <row r="130" spans="1:43" x14ac:dyDescent="0.3">
      <c r="A130" t="s">
        <v>324</v>
      </c>
      <c r="B130" t="s">
        <v>325</v>
      </c>
      <c r="C130" t="s">
        <v>43</v>
      </c>
      <c r="D130" t="s">
        <v>44</v>
      </c>
      <c r="E130" s="10" t="s">
        <v>45</v>
      </c>
      <c r="F130" s="10" t="s">
        <v>63</v>
      </c>
      <c r="G130" s="11">
        <v>201</v>
      </c>
      <c r="H130" s="12">
        <v>219.81818181818181</v>
      </c>
      <c r="I130" s="12">
        <f t="shared" ref="I130:I193" si="56">MAX(H130,G130)</f>
        <v>219.81818181818181</v>
      </c>
      <c r="J130" s="13">
        <f t="shared" si="53"/>
        <v>264</v>
      </c>
      <c r="K130" s="14">
        <f t="shared" ref="K130:K193" si="57">ROUND(J130/31*28,0)</f>
        <v>238</v>
      </c>
      <c r="L130" s="15">
        <v>33</v>
      </c>
      <c r="M130" s="12">
        <v>52.13636363636364</v>
      </c>
      <c r="N130" s="12">
        <f t="shared" ref="N130:N193" si="58">MAX(M130,L130)</f>
        <v>52.13636363636364</v>
      </c>
      <c r="O130" s="13">
        <v>63</v>
      </c>
      <c r="P130" s="16">
        <f t="shared" si="54"/>
        <v>57</v>
      </c>
      <c r="Q130" s="15">
        <f t="shared" ref="Q130:Q193" si="59">J130-H130</f>
        <v>44.181818181818187</v>
      </c>
      <c r="R130" s="12">
        <f t="shared" ref="R130:R193" si="60">K130-H130</f>
        <v>18.181818181818187</v>
      </c>
      <c r="S130" s="12">
        <f t="shared" ref="S130:S193" si="61">O130-M130</f>
        <v>10.86363636363636</v>
      </c>
      <c r="T130" s="12">
        <f t="shared" ref="T130:T193" si="62">P130-M130</f>
        <v>4.8636363636363598</v>
      </c>
      <c r="U130" s="17">
        <f t="shared" ref="U130:U193" si="63">(J130/H130)-1</f>
        <v>0.20099255583126552</v>
      </c>
      <c r="V130" s="17">
        <f t="shared" ref="V130:V193" si="64">(K130/H130)-1</f>
        <v>8.2712985938792505E-2</v>
      </c>
      <c r="W130" s="17">
        <f t="shared" ref="W130:W193" si="65">IFERROR((O130/M130)-1,"-")</f>
        <v>0.20836965998256307</v>
      </c>
      <c r="X130" s="17">
        <f t="shared" ref="X130:X193" si="66">IFERROR((P130/M130)-1,0)</f>
        <v>9.3286835222319064E-2</v>
      </c>
      <c r="Y130" s="18">
        <f>+IFERROR(VLOOKUP(A130,[1]Hoja1!$A:$B,2,0),0)</f>
        <v>179</v>
      </c>
      <c r="Z130" s="18">
        <f>+IFERROR(VLOOKUP(A130,[1]Hoja1!$D:$E,2,0),0)</f>
        <v>16</v>
      </c>
      <c r="AA130" s="18">
        <f t="shared" si="41"/>
        <v>504</v>
      </c>
      <c r="AB130" s="18">
        <f t="shared" si="41"/>
        <v>45</v>
      </c>
      <c r="AC130">
        <f t="shared" si="42"/>
        <v>1</v>
      </c>
      <c r="AD130">
        <f t="shared" si="43"/>
        <v>0</v>
      </c>
      <c r="AE130">
        <f t="shared" si="44"/>
        <v>0</v>
      </c>
      <c r="AF130" s="17">
        <f t="shared" si="55"/>
        <v>1.2590673575129534</v>
      </c>
      <c r="AG130" s="17">
        <f t="shared" si="45"/>
        <v>1.9090909090909092</v>
      </c>
      <c r="AH130" s="18">
        <f t="shared" si="46"/>
        <v>960</v>
      </c>
      <c r="AI130" s="18">
        <f t="shared" si="46"/>
        <v>86</v>
      </c>
      <c r="AJ130">
        <f t="shared" si="47"/>
        <v>1</v>
      </c>
      <c r="AK130">
        <f t="shared" si="48"/>
        <v>0</v>
      </c>
      <c r="AL130">
        <f t="shared" si="49"/>
        <v>0</v>
      </c>
      <c r="AM130" s="17">
        <f t="shared" si="50"/>
        <v>1.2613430127041743</v>
      </c>
      <c r="AN130" s="17">
        <f t="shared" si="51"/>
        <v>1.9123505976095618</v>
      </c>
      <c r="AO130" s="18" t="str">
        <f>+IFERROR(VLOOKUP(A130,[2]Rank!$B:$E,4,0),"No Ganador")</f>
        <v>No Ganador</v>
      </c>
      <c r="AP130" s="18">
        <f>+VLOOKUP(D130,[2]Departamento!$A$1:$B$16,2,0)</f>
        <v>6</v>
      </c>
      <c r="AQ130">
        <f t="shared" si="52"/>
        <v>0</v>
      </c>
    </row>
    <row r="131" spans="1:43" x14ac:dyDescent="0.3">
      <c r="A131" t="s">
        <v>326</v>
      </c>
      <c r="B131" t="s">
        <v>327</v>
      </c>
      <c r="C131" t="s">
        <v>43</v>
      </c>
      <c r="D131" t="s">
        <v>44</v>
      </c>
      <c r="E131" s="10" t="s">
        <v>45</v>
      </c>
      <c r="F131" s="10" t="s">
        <v>63</v>
      </c>
      <c r="G131" s="11">
        <v>386</v>
      </c>
      <c r="H131" s="12">
        <v>405.81818181818187</v>
      </c>
      <c r="I131" s="12">
        <f t="shared" si="56"/>
        <v>405.81818181818187</v>
      </c>
      <c r="J131" s="13">
        <f t="shared" si="53"/>
        <v>487</v>
      </c>
      <c r="K131" s="14">
        <f t="shared" si="57"/>
        <v>440</v>
      </c>
      <c r="L131" s="15">
        <v>6</v>
      </c>
      <c r="M131" s="12">
        <v>1.4090909090909092</v>
      </c>
      <c r="N131" s="12">
        <f t="shared" si="58"/>
        <v>6</v>
      </c>
      <c r="O131" s="13">
        <v>7</v>
      </c>
      <c r="P131" s="16">
        <f t="shared" si="54"/>
        <v>6</v>
      </c>
      <c r="Q131" s="15">
        <f t="shared" si="59"/>
        <v>81.18181818181813</v>
      </c>
      <c r="R131" s="12">
        <f t="shared" si="60"/>
        <v>34.18181818181813</v>
      </c>
      <c r="S131" s="12">
        <f t="shared" si="61"/>
        <v>5.5909090909090908</v>
      </c>
      <c r="T131" s="12">
        <f t="shared" si="62"/>
        <v>4.5909090909090908</v>
      </c>
      <c r="U131" s="17">
        <f t="shared" si="63"/>
        <v>0.20004480286738335</v>
      </c>
      <c r="V131" s="17">
        <f t="shared" si="64"/>
        <v>8.4229390681003435E-2</v>
      </c>
      <c r="W131" s="17">
        <f t="shared" si="65"/>
        <v>3.967741935483871</v>
      </c>
      <c r="X131" s="17">
        <f t="shared" si="66"/>
        <v>3.258064516129032</v>
      </c>
      <c r="Y131" s="18">
        <f>+IFERROR(VLOOKUP(A131,[1]Hoja1!$A:$B,2,0),0)</f>
        <v>0</v>
      </c>
      <c r="Z131" s="18">
        <f>+IFERROR(VLOOKUP(A131,[1]Hoja1!$D:$E,2,0),0)</f>
        <v>0</v>
      </c>
      <c r="AA131" s="18">
        <f t="shared" ref="AA131:AB194" si="67">+ROUND((Y131*31)/11,0)</f>
        <v>0</v>
      </c>
      <c r="AB131" s="18">
        <f t="shared" si="67"/>
        <v>0</v>
      </c>
      <c r="AC131">
        <f t="shared" ref="AC131:AC194" si="68">+IF(AA131&gt;=J131,1,0)</f>
        <v>0</v>
      </c>
      <c r="AD131">
        <f t="shared" ref="AD131:AD194" si="69">+IF(AB131&gt;=O131,1,0)</f>
        <v>0</v>
      </c>
      <c r="AE131">
        <f t="shared" ref="AE131:AE194" si="70">+IF(AC131+AD131=2,1,0)</f>
        <v>0</v>
      </c>
      <c r="AF131" s="17">
        <f t="shared" si="55"/>
        <v>0</v>
      </c>
      <c r="AG131" s="17">
        <f t="shared" ref="AG131:AG194" si="71">+AA131/J131</f>
        <v>0</v>
      </c>
      <c r="AH131" s="18">
        <f t="shared" ref="AH131:AI194" si="72">+ROUND((Y131*59)/11,0)</f>
        <v>0</v>
      </c>
      <c r="AI131" s="18">
        <f t="shared" si="72"/>
        <v>0</v>
      </c>
      <c r="AJ131">
        <f t="shared" ref="AJ131:AJ194" si="73">+IF(AH131&gt;=(J131+K131),1,0)</f>
        <v>0</v>
      </c>
      <c r="AK131">
        <f t="shared" ref="AK131:AK194" si="74">+IF(AI131&gt;=(O131+P131),1,0)</f>
        <v>0</v>
      </c>
      <c r="AL131">
        <f t="shared" ref="AL131:AL194" si="75">+IF(AJ131+AK131=2,1,0)</f>
        <v>0</v>
      </c>
      <c r="AM131" s="17">
        <f t="shared" ref="AM131:AM194" si="76">+(AH131+(5*AI131))/((J131+K131)+(5*(O131+P131)))</f>
        <v>0</v>
      </c>
      <c r="AN131" s="17">
        <f t="shared" ref="AN131:AN194" si="77">+AH131/(J131+K131)</f>
        <v>0</v>
      </c>
      <c r="AO131" s="18" t="str">
        <f>+IFERROR(VLOOKUP(A131,[2]Rank!$B:$E,4,0),"No Ganador")</f>
        <v>No Ganador</v>
      </c>
      <c r="AP131" s="18">
        <f>+VLOOKUP(D131,[2]Departamento!$A$1:$B$16,2,0)</f>
        <v>6</v>
      </c>
      <c r="AQ131">
        <f t="shared" ref="AQ131:AQ194" si="78">+IFERROR(IF(AO131&gt;AP131,0,1),0)</f>
        <v>0</v>
      </c>
    </row>
    <row r="132" spans="1:43" x14ac:dyDescent="0.3">
      <c r="A132" t="s">
        <v>328</v>
      </c>
      <c r="B132" t="s">
        <v>329</v>
      </c>
      <c r="C132" t="s">
        <v>43</v>
      </c>
      <c r="D132" t="s">
        <v>44</v>
      </c>
      <c r="E132" s="10" t="s">
        <v>45</v>
      </c>
      <c r="F132" s="10" t="s">
        <v>63</v>
      </c>
      <c r="G132" s="11">
        <v>286</v>
      </c>
      <c r="H132" s="12">
        <v>310</v>
      </c>
      <c r="I132" s="12">
        <f t="shared" si="56"/>
        <v>310</v>
      </c>
      <c r="J132" s="13">
        <f t="shared" si="53"/>
        <v>372</v>
      </c>
      <c r="K132" s="14">
        <f t="shared" si="57"/>
        <v>336</v>
      </c>
      <c r="L132" s="15">
        <v>3</v>
      </c>
      <c r="M132" s="12">
        <v>1.4090909090909092</v>
      </c>
      <c r="N132" s="12">
        <f t="shared" si="58"/>
        <v>3</v>
      </c>
      <c r="O132" s="13">
        <v>4</v>
      </c>
      <c r="P132" s="16">
        <v>3</v>
      </c>
      <c r="Q132" s="15">
        <f t="shared" si="59"/>
        <v>62</v>
      </c>
      <c r="R132" s="12">
        <f t="shared" si="60"/>
        <v>26</v>
      </c>
      <c r="S132" s="12">
        <f t="shared" si="61"/>
        <v>2.5909090909090908</v>
      </c>
      <c r="T132" s="12">
        <f t="shared" si="62"/>
        <v>1.5909090909090908</v>
      </c>
      <c r="U132" s="17">
        <f t="shared" si="63"/>
        <v>0.19999999999999996</v>
      </c>
      <c r="V132" s="17">
        <f t="shared" si="64"/>
        <v>8.3870967741935587E-2</v>
      </c>
      <c r="W132" s="17">
        <f t="shared" si="65"/>
        <v>1.8387096774193545</v>
      </c>
      <c r="X132" s="17">
        <f t="shared" si="66"/>
        <v>1.129032258064516</v>
      </c>
      <c r="Y132" s="18">
        <f>+IFERROR(VLOOKUP(A132,[1]Hoja1!$A:$B,2,0),0)</f>
        <v>110</v>
      </c>
      <c r="Z132" s="18">
        <f>+IFERROR(VLOOKUP(A132,[1]Hoja1!$D:$E,2,0),0)</f>
        <v>6</v>
      </c>
      <c r="AA132" s="18">
        <f t="shared" si="67"/>
        <v>310</v>
      </c>
      <c r="AB132" s="18">
        <f t="shared" si="67"/>
        <v>17</v>
      </c>
      <c r="AC132">
        <f t="shared" si="68"/>
        <v>0</v>
      </c>
      <c r="AD132">
        <f t="shared" si="69"/>
        <v>1</v>
      </c>
      <c r="AE132">
        <f t="shared" si="70"/>
        <v>0</v>
      </c>
      <c r="AF132" s="17">
        <f t="shared" si="55"/>
        <v>1.0076530612244898</v>
      </c>
      <c r="AG132" s="17">
        <f t="shared" si="71"/>
        <v>0.83333333333333337</v>
      </c>
      <c r="AH132" s="18">
        <f t="shared" si="72"/>
        <v>590</v>
      </c>
      <c r="AI132" s="18">
        <f t="shared" si="72"/>
        <v>32</v>
      </c>
      <c r="AJ132">
        <f t="shared" si="73"/>
        <v>0</v>
      </c>
      <c r="AK132">
        <f t="shared" si="74"/>
        <v>1</v>
      </c>
      <c r="AL132">
        <f t="shared" si="75"/>
        <v>0</v>
      </c>
      <c r="AM132" s="17">
        <f t="shared" si="76"/>
        <v>1.009421265141319</v>
      </c>
      <c r="AN132" s="17">
        <f t="shared" si="77"/>
        <v>0.83333333333333337</v>
      </c>
      <c r="AO132" s="18" t="str">
        <f>+IFERROR(VLOOKUP(A132,[2]Rank!$B:$E,4,0),"No Ganador")</f>
        <v>No Ganador</v>
      </c>
      <c r="AP132" s="18">
        <f>+VLOOKUP(D132,[2]Departamento!$A$1:$B$16,2,0)</f>
        <v>6</v>
      </c>
      <c r="AQ132">
        <f t="shared" si="78"/>
        <v>0</v>
      </c>
    </row>
    <row r="133" spans="1:43" x14ac:dyDescent="0.3">
      <c r="A133" t="s">
        <v>330</v>
      </c>
      <c r="B133" t="s">
        <v>331</v>
      </c>
      <c r="C133" t="s">
        <v>43</v>
      </c>
      <c r="D133" t="s">
        <v>119</v>
      </c>
      <c r="E133" s="10" t="s">
        <v>69</v>
      </c>
      <c r="F133" s="10" t="s">
        <v>114</v>
      </c>
      <c r="G133" s="11">
        <v>0</v>
      </c>
      <c r="H133" s="12">
        <v>21.136363636363633</v>
      </c>
      <c r="I133" s="12">
        <f t="shared" si="56"/>
        <v>21.136363636363633</v>
      </c>
      <c r="J133" s="13">
        <f t="shared" si="53"/>
        <v>25</v>
      </c>
      <c r="K133" s="14">
        <f t="shared" si="57"/>
        <v>23</v>
      </c>
      <c r="L133" s="15">
        <v>0</v>
      </c>
      <c r="M133" s="12">
        <v>0</v>
      </c>
      <c r="N133" s="12">
        <f t="shared" si="58"/>
        <v>0</v>
      </c>
      <c r="O133" s="13">
        <v>1</v>
      </c>
      <c r="P133" s="16">
        <f t="shared" si="54"/>
        <v>1</v>
      </c>
      <c r="Q133" s="15">
        <f t="shared" si="59"/>
        <v>3.8636363636363669</v>
      </c>
      <c r="R133" s="12">
        <f t="shared" si="60"/>
        <v>1.8636363636363669</v>
      </c>
      <c r="S133" s="12">
        <f t="shared" si="61"/>
        <v>1</v>
      </c>
      <c r="T133" s="12">
        <f t="shared" si="62"/>
        <v>1</v>
      </c>
      <c r="U133" s="17">
        <f t="shared" si="63"/>
        <v>0.18279569892473146</v>
      </c>
      <c r="V133" s="17">
        <f t="shared" si="64"/>
        <v>8.8172043010752876E-2</v>
      </c>
      <c r="W133" s="17" t="str">
        <f t="shared" si="65"/>
        <v>-</v>
      </c>
      <c r="X133" s="17">
        <f t="shared" si="66"/>
        <v>0</v>
      </c>
      <c r="Y133" s="18">
        <f>+IFERROR(VLOOKUP(A133,[1]Hoja1!$A:$B,2,0),0)</f>
        <v>4</v>
      </c>
      <c r="Z133" s="18">
        <f>+IFERROR(VLOOKUP(A133,[1]Hoja1!$D:$E,2,0),0)</f>
        <v>0</v>
      </c>
      <c r="AA133" s="18">
        <f t="shared" si="67"/>
        <v>11</v>
      </c>
      <c r="AB133" s="18">
        <f t="shared" si="67"/>
        <v>0</v>
      </c>
      <c r="AC133">
        <f t="shared" si="68"/>
        <v>0</v>
      </c>
      <c r="AD133">
        <f t="shared" si="69"/>
        <v>0</v>
      </c>
      <c r="AE133">
        <f t="shared" si="70"/>
        <v>0</v>
      </c>
      <c r="AF133" s="17">
        <f t="shared" si="55"/>
        <v>0.36666666666666664</v>
      </c>
      <c r="AG133" s="17">
        <f t="shared" si="71"/>
        <v>0.44</v>
      </c>
      <c r="AH133" s="18">
        <f t="shared" si="72"/>
        <v>21</v>
      </c>
      <c r="AI133" s="18">
        <f t="shared" si="72"/>
        <v>0</v>
      </c>
      <c r="AJ133">
        <f t="shared" si="73"/>
        <v>0</v>
      </c>
      <c r="AK133">
        <f t="shared" si="74"/>
        <v>0</v>
      </c>
      <c r="AL133">
        <f t="shared" si="75"/>
        <v>0</v>
      </c>
      <c r="AM133" s="17">
        <f t="shared" si="76"/>
        <v>0.36206896551724138</v>
      </c>
      <c r="AN133" s="17">
        <f t="shared" si="77"/>
        <v>0.4375</v>
      </c>
      <c r="AO133" s="18" t="str">
        <f>+IFERROR(VLOOKUP(A133,[2]Rank!$B:$E,4,0),"No Ganador")</f>
        <v>No Ganador</v>
      </c>
      <c r="AP133" s="18">
        <f>+VLOOKUP(D133,[2]Departamento!$A$1:$B$16,2,0)</f>
        <v>2</v>
      </c>
      <c r="AQ133">
        <f t="shared" si="78"/>
        <v>0</v>
      </c>
    </row>
    <row r="134" spans="1:43" x14ac:dyDescent="0.3">
      <c r="A134" t="s">
        <v>332</v>
      </c>
      <c r="B134" t="s">
        <v>333</v>
      </c>
      <c r="C134" t="s">
        <v>43</v>
      </c>
      <c r="D134" t="s">
        <v>113</v>
      </c>
      <c r="E134" s="10" t="s">
        <v>69</v>
      </c>
      <c r="F134" s="10" t="s">
        <v>114</v>
      </c>
      <c r="G134" s="11">
        <v>102</v>
      </c>
      <c r="H134" s="12">
        <v>128.22727272727275</v>
      </c>
      <c r="I134" s="12">
        <f t="shared" si="56"/>
        <v>128.22727272727275</v>
      </c>
      <c r="J134" s="13">
        <f t="shared" si="53"/>
        <v>154</v>
      </c>
      <c r="K134" s="14">
        <f t="shared" si="57"/>
        <v>139</v>
      </c>
      <c r="L134" s="15">
        <v>3</v>
      </c>
      <c r="M134" s="12">
        <v>9.8636363636363633</v>
      </c>
      <c r="N134" s="12">
        <f t="shared" si="58"/>
        <v>9.8636363636363633</v>
      </c>
      <c r="O134" s="13">
        <v>12</v>
      </c>
      <c r="P134" s="16">
        <f t="shared" si="54"/>
        <v>11</v>
      </c>
      <c r="Q134" s="15">
        <f t="shared" si="59"/>
        <v>25.772727272727252</v>
      </c>
      <c r="R134" s="12">
        <f t="shared" si="60"/>
        <v>10.772727272727252</v>
      </c>
      <c r="S134" s="12">
        <f t="shared" si="61"/>
        <v>2.1363636363636367</v>
      </c>
      <c r="T134" s="12">
        <f t="shared" si="62"/>
        <v>1.1363636363636367</v>
      </c>
      <c r="U134" s="17">
        <f t="shared" si="63"/>
        <v>0.2009925558312653</v>
      </c>
      <c r="V134" s="17">
        <f t="shared" si="64"/>
        <v>8.4012761432116001E-2</v>
      </c>
      <c r="W134" s="17">
        <f t="shared" si="65"/>
        <v>0.21658986175115214</v>
      </c>
      <c r="X134" s="17">
        <f t="shared" si="66"/>
        <v>0.11520737327188946</v>
      </c>
      <c r="Y134" s="18">
        <f>+IFERROR(VLOOKUP(A134,[1]Hoja1!$A:$B,2,0),0)</f>
        <v>9</v>
      </c>
      <c r="Z134" s="18">
        <f>+IFERROR(VLOOKUP(A134,[1]Hoja1!$D:$E,2,0),0)</f>
        <v>0</v>
      </c>
      <c r="AA134" s="18">
        <f t="shared" si="67"/>
        <v>25</v>
      </c>
      <c r="AB134" s="18">
        <f t="shared" si="67"/>
        <v>0</v>
      </c>
      <c r="AC134">
        <f t="shared" si="68"/>
        <v>0</v>
      </c>
      <c r="AD134">
        <f t="shared" si="69"/>
        <v>0</v>
      </c>
      <c r="AE134">
        <f t="shared" si="70"/>
        <v>0</v>
      </c>
      <c r="AF134" s="17">
        <f t="shared" si="55"/>
        <v>0.11682242990654206</v>
      </c>
      <c r="AG134" s="17">
        <f t="shared" si="71"/>
        <v>0.16233766233766234</v>
      </c>
      <c r="AH134" s="18">
        <f t="shared" si="72"/>
        <v>48</v>
      </c>
      <c r="AI134" s="18">
        <f t="shared" si="72"/>
        <v>0</v>
      </c>
      <c r="AJ134">
        <f t="shared" si="73"/>
        <v>0</v>
      </c>
      <c r="AK134">
        <f t="shared" si="74"/>
        <v>0</v>
      </c>
      <c r="AL134">
        <f t="shared" si="75"/>
        <v>0</v>
      </c>
      <c r="AM134" s="17">
        <f t="shared" si="76"/>
        <v>0.11764705882352941</v>
      </c>
      <c r="AN134" s="17">
        <f t="shared" si="77"/>
        <v>0.16382252559726962</v>
      </c>
      <c r="AO134" s="18" t="str">
        <f>+IFERROR(VLOOKUP(A134,[2]Rank!$B:$E,4,0),"No Ganador")</f>
        <v>No Ganador</v>
      </c>
      <c r="AP134" s="18">
        <f>+VLOOKUP(D134,[2]Departamento!$A$1:$B$16,2,0)</f>
        <v>1</v>
      </c>
      <c r="AQ134">
        <f t="shared" si="78"/>
        <v>0</v>
      </c>
    </row>
    <row r="135" spans="1:43" x14ac:dyDescent="0.3">
      <c r="A135" t="s">
        <v>334</v>
      </c>
      <c r="B135" t="s">
        <v>335</v>
      </c>
      <c r="C135" t="s">
        <v>43</v>
      </c>
      <c r="D135" t="s">
        <v>113</v>
      </c>
      <c r="E135" s="10" t="s">
        <v>69</v>
      </c>
      <c r="F135" s="10" t="s">
        <v>114</v>
      </c>
      <c r="G135" s="11">
        <v>48</v>
      </c>
      <c r="H135" s="12">
        <v>70.454545454545467</v>
      </c>
      <c r="I135" s="12">
        <f t="shared" si="56"/>
        <v>70.454545454545467</v>
      </c>
      <c r="J135" s="13">
        <f t="shared" si="53"/>
        <v>85</v>
      </c>
      <c r="K135" s="14">
        <f t="shared" si="57"/>
        <v>77</v>
      </c>
      <c r="L135" s="15">
        <v>0</v>
      </c>
      <c r="M135" s="12">
        <v>4.2272727272727266</v>
      </c>
      <c r="N135" s="12">
        <f t="shared" si="58"/>
        <v>4.2272727272727266</v>
      </c>
      <c r="O135" s="13">
        <v>5</v>
      </c>
      <c r="P135" s="16">
        <f t="shared" si="54"/>
        <v>5</v>
      </c>
      <c r="Q135" s="15">
        <f t="shared" si="59"/>
        <v>14.545454545454533</v>
      </c>
      <c r="R135" s="12">
        <f t="shared" si="60"/>
        <v>6.5454545454545325</v>
      </c>
      <c r="S135" s="12">
        <f t="shared" si="61"/>
        <v>0.77272727272727337</v>
      </c>
      <c r="T135" s="12">
        <f t="shared" si="62"/>
        <v>0.77272727272727337</v>
      </c>
      <c r="U135" s="17">
        <f t="shared" si="63"/>
        <v>0.20645161290322567</v>
      </c>
      <c r="V135" s="17">
        <f t="shared" si="64"/>
        <v>9.2903225806451495E-2</v>
      </c>
      <c r="W135" s="17">
        <f t="shared" si="65"/>
        <v>0.18279569892473146</v>
      </c>
      <c r="X135" s="17">
        <f t="shared" si="66"/>
        <v>0.18279569892473146</v>
      </c>
      <c r="Y135" s="18">
        <f>+IFERROR(VLOOKUP(A135,[1]Hoja1!$A:$B,2,0),0)</f>
        <v>40</v>
      </c>
      <c r="Z135" s="18">
        <f>+IFERROR(VLOOKUP(A135,[1]Hoja1!$D:$E,2,0),0)</f>
        <v>2</v>
      </c>
      <c r="AA135" s="18">
        <f t="shared" si="67"/>
        <v>113</v>
      </c>
      <c r="AB135" s="18">
        <f t="shared" si="67"/>
        <v>6</v>
      </c>
      <c r="AC135">
        <f t="shared" si="68"/>
        <v>1</v>
      </c>
      <c r="AD135">
        <f t="shared" si="69"/>
        <v>1</v>
      </c>
      <c r="AE135">
        <f t="shared" si="70"/>
        <v>1</v>
      </c>
      <c r="AF135" s="17">
        <f t="shared" si="55"/>
        <v>1.3</v>
      </c>
      <c r="AG135" s="17">
        <f t="shared" si="71"/>
        <v>1.3294117647058823</v>
      </c>
      <c r="AH135" s="18">
        <f t="shared" si="72"/>
        <v>215</v>
      </c>
      <c r="AI135" s="18">
        <f t="shared" si="72"/>
        <v>11</v>
      </c>
      <c r="AJ135">
        <f t="shared" si="73"/>
        <v>1</v>
      </c>
      <c r="AK135">
        <f t="shared" si="74"/>
        <v>1</v>
      </c>
      <c r="AL135">
        <f t="shared" si="75"/>
        <v>1</v>
      </c>
      <c r="AM135" s="17">
        <f t="shared" si="76"/>
        <v>1.2735849056603774</v>
      </c>
      <c r="AN135" s="17">
        <f t="shared" si="77"/>
        <v>1.3271604938271604</v>
      </c>
      <c r="AO135" s="18">
        <f>+IFERROR(VLOOKUP(A135,[2]Rank!$B:$E,4,0),"No Ganador")</f>
        <v>2</v>
      </c>
      <c r="AP135" s="18">
        <f>+VLOOKUP(D135,[2]Departamento!$A$1:$B$16,2,0)</f>
        <v>1</v>
      </c>
      <c r="AQ135">
        <f t="shared" si="78"/>
        <v>0</v>
      </c>
    </row>
    <row r="136" spans="1:43" x14ac:dyDescent="0.3">
      <c r="A136" t="s">
        <v>336</v>
      </c>
      <c r="B136" t="s">
        <v>337</v>
      </c>
      <c r="C136" t="s">
        <v>43</v>
      </c>
      <c r="D136" t="s">
        <v>44</v>
      </c>
      <c r="E136" s="10" t="s">
        <v>45</v>
      </c>
      <c r="F136" s="10" t="s">
        <v>46</v>
      </c>
      <c r="G136" s="11">
        <v>202</v>
      </c>
      <c r="H136" s="12">
        <v>235.31818181818181</v>
      </c>
      <c r="I136" s="12">
        <f t="shared" si="56"/>
        <v>235.31818181818181</v>
      </c>
      <c r="J136" s="13">
        <f t="shared" si="53"/>
        <v>282</v>
      </c>
      <c r="K136" s="14">
        <f t="shared" si="57"/>
        <v>255</v>
      </c>
      <c r="L136" s="15">
        <v>1</v>
      </c>
      <c r="M136" s="12">
        <v>1.4090909090909092</v>
      </c>
      <c r="N136" s="12">
        <f t="shared" si="58"/>
        <v>1.4090909090909092</v>
      </c>
      <c r="O136" s="13">
        <v>2</v>
      </c>
      <c r="P136" s="16">
        <f t="shared" si="54"/>
        <v>2</v>
      </c>
      <c r="Q136" s="15">
        <f t="shared" si="59"/>
        <v>46.681818181818187</v>
      </c>
      <c r="R136" s="12">
        <f t="shared" si="60"/>
        <v>19.681818181818187</v>
      </c>
      <c r="S136" s="12">
        <f t="shared" si="61"/>
        <v>0.59090909090909083</v>
      </c>
      <c r="T136" s="12">
        <f t="shared" si="62"/>
        <v>0.59090909090909083</v>
      </c>
      <c r="U136" s="17">
        <f t="shared" si="63"/>
        <v>0.19837743867104507</v>
      </c>
      <c r="V136" s="17">
        <f t="shared" si="64"/>
        <v>8.3639173266370603E-2</v>
      </c>
      <c r="W136" s="17">
        <f t="shared" si="65"/>
        <v>0.41935483870967727</v>
      </c>
      <c r="X136" s="17">
        <f t="shared" si="66"/>
        <v>0.41935483870967727</v>
      </c>
      <c r="Y136" s="18">
        <f>+IFERROR(VLOOKUP(A136,[1]Hoja1!$A:$B,2,0),0)</f>
        <v>70</v>
      </c>
      <c r="Z136" s="18">
        <f>+IFERROR(VLOOKUP(A136,[1]Hoja1!$D:$E,2,0),0)</f>
        <v>6</v>
      </c>
      <c r="AA136" s="18">
        <f t="shared" si="67"/>
        <v>197</v>
      </c>
      <c r="AB136" s="18">
        <f t="shared" si="67"/>
        <v>17</v>
      </c>
      <c r="AC136">
        <f t="shared" si="68"/>
        <v>0</v>
      </c>
      <c r="AD136">
        <f t="shared" si="69"/>
        <v>1</v>
      </c>
      <c r="AE136">
        <f t="shared" si="70"/>
        <v>0</v>
      </c>
      <c r="AF136" s="17">
        <f t="shared" si="55"/>
        <v>0.96575342465753422</v>
      </c>
      <c r="AG136" s="17">
        <f t="shared" si="71"/>
        <v>0.6985815602836879</v>
      </c>
      <c r="AH136" s="18">
        <f t="shared" si="72"/>
        <v>375</v>
      </c>
      <c r="AI136" s="18">
        <f t="shared" si="72"/>
        <v>32</v>
      </c>
      <c r="AJ136">
        <f t="shared" si="73"/>
        <v>0</v>
      </c>
      <c r="AK136">
        <f t="shared" si="74"/>
        <v>1</v>
      </c>
      <c r="AL136">
        <f t="shared" si="75"/>
        <v>0</v>
      </c>
      <c r="AM136" s="17">
        <f t="shared" si="76"/>
        <v>0.96050269299820468</v>
      </c>
      <c r="AN136" s="17">
        <f t="shared" si="77"/>
        <v>0.6983240223463687</v>
      </c>
      <c r="AO136" s="18" t="str">
        <f>+IFERROR(VLOOKUP(A136,[2]Rank!$B:$E,4,0),"No Ganador")</f>
        <v>No Ganador</v>
      </c>
      <c r="AP136" s="18">
        <f>+VLOOKUP(D136,[2]Departamento!$A$1:$B$16,2,0)</f>
        <v>6</v>
      </c>
      <c r="AQ136">
        <f t="shared" si="78"/>
        <v>0</v>
      </c>
    </row>
    <row r="137" spans="1:43" x14ac:dyDescent="0.3">
      <c r="A137" t="s">
        <v>338</v>
      </c>
      <c r="B137" t="s">
        <v>339</v>
      </c>
      <c r="C137" t="s">
        <v>43</v>
      </c>
      <c r="D137" t="s">
        <v>44</v>
      </c>
      <c r="E137" s="10" t="s">
        <v>45</v>
      </c>
      <c r="F137" s="10" t="s">
        <v>63</v>
      </c>
      <c r="G137" s="11">
        <v>127</v>
      </c>
      <c r="H137" s="12">
        <v>150.77272727272725</v>
      </c>
      <c r="I137" s="12">
        <f t="shared" si="56"/>
        <v>150.77272727272725</v>
      </c>
      <c r="J137" s="13">
        <f t="shared" si="53"/>
        <v>181</v>
      </c>
      <c r="K137" s="14">
        <f t="shared" si="57"/>
        <v>163</v>
      </c>
      <c r="L137" s="15">
        <v>4</v>
      </c>
      <c r="M137" s="12">
        <v>8.4545454545454533</v>
      </c>
      <c r="N137" s="12">
        <f t="shared" si="58"/>
        <v>8.4545454545454533</v>
      </c>
      <c r="O137" s="13">
        <v>10</v>
      </c>
      <c r="P137" s="16">
        <f t="shared" si="54"/>
        <v>9</v>
      </c>
      <c r="Q137" s="15">
        <f t="shared" si="59"/>
        <v>30.227272727272748</v>
      </c>
      <c r="R137" s="12">
        <f t="shared" si="60"/>
        <v>12.227272727272748</v>
      </c>
      <c r="S137" s="12">
        <f t="shared" si="61"/>
        <v>1.5454545454545467</v>
      </c>
      <c r="T137" s="12">
        <f t="shared" si="62"/>
        <v>0.54545454545454675</v>
      </c>
      <c r="U137" s="17">
        <f t="shared" si="63"/>
        <v>0.20048236358154981</v>
      </c>
      <c r="V137" s="17">
        <f t="shared" si="64"/>
        <v>8.1097377148025451E-2</v>
      </c>
      <c r="W137" s="17">
        <f t="shared" si="65"/>
        <v>0.18279569892473146</v>
      </c>
      <c r="X137" s="17">
        <f t="shared" si="66"/>
        <v>6.4516129032258229E-2</v>
      </c>
      <c r="Y137" s="18">
        <f>+IFERROR(VLOOKUP(A137,[1]Hoja1!$A:$B,2,0),0)</f>
        <v>43</v>
      </c>
      <c r="Z137" s="18">
        <f>+IFERROR(VLOOKUP(A137,[1]Hoja1!$D:$E,2,0),0)</f>
        <v>4</v>
      </c>
      <c r="AA137" s="18">
        <f t="shared" si="67"/>
        <v>121</v>
      </c>
      <c r="AB137" s="18">
        <f t="shared" si="67"/>
        <v>11</v>
      </c>
      <c r="AC137">
        <f t="shared" si="68"/>
        <v>0</v>
      </c>
      <c r="AD137">
        <f t="shared" si="69"/>
        <v>1</v>
      </c>
      <c r="AE137">
        <f t="shared" si="70"/>
        <v>0</v>
      </c>
      <c r="AF137" s="17">
        <f t="shared" si="55"/>
        <v>0.76190476190476186</v>
      </c>
      <c r="AG137" s="17">
        <f t="shared" si="71"/>
        <v>0.66850828729281764</v>
      </c>
      <c r="AH137" s="18">
        <f t="shared" si="72"/>
        <v>231</v>
      </c>
      <c r="AI137" s="18">
        <f t="shared" si="72"/>
        <v>21</v>
      </c>
      <c r="AJ137">
        <f t="shared" si="73"/>
        <v>0</v>
      </c>
      <c r="AK137">
        <f t="shared" si="74"/>
        <v>1</v>
      </c>
      <c r="AL137">
        <f t="shared" si="75"/>
        <v>0</v>
      </c>
      <c r="AM137" s="17">
        <f t="shared" si="76"/>
        <v>0.76537585421412302</v>
      </c>
      <c r="AN137" s="17">
        <f t="shared" si="77"/>
        <v>0.67151162790697672</v>
      </c>
      <c r="AO137" s="18" t="str">
        <f>+IFERROR(VLOOKUP(A137,[2]Rank!$B:$E,4,0),"No Ganador")</f>
        <v>No Ganador</v>
      </c>
      <c r="AP137" s="18">
        <f>+VLOOKUP(D137,[2]Departamento!$A$1:$B$16,2,0)</f>
        <v>6</v>
      </c>
      <c r="AQ137">
        <f t="shared" si="78"/>
        <v>0</v>
      </c>
    </row>
    <row r="138" spans="1:43" x14ac:dyDescent="0.3">
      <c r="A138" t="s">
        <v>340</v>
      </c>
      <c r="B138" t="s">
        <v>341</v>
      </c>
      <c r="C138" t="s">
        <v>43</v>
      </c>
      <c r="D138" t="s">
        <v>99</v>
      </c>
      <c r="E138" s="10" t="s">
        <v>57</v>
      </c>
      <c r="F138" s="10" t="s">
        <v>46</v>
      </c>
      <c r="G138" s="11">
        <v>137</v>
      </c>
      <c r="H138" s="12">
        <v>160.63636363636363</v>
      </c>
      <c r="I138" s="12">
        <f t="shared" si="56"/>
        <v>160.63636363636363</v>
      </c>
      <c r="J138" s="13">
        <f t="shared" si="53"/>
        <v>193</v>
      </c>
      <c r="K138" s="14">
        <f t="shared" si="57"/>
        <v>174</v>
      </c>
      <c r="L138" s="15">
        <v>0</v>
      </c>
      <c r="M138" s="12">
        <v>1.4090909090909092</v>
      </c>
      <c r="N138" s="12">
        <f t="shared" si="58"/>
        <v>1.4090909090909092</v>
      </c>
      <c r="O138" s="13">
        <v>2</v>
      </c>
      <c r="P138" s="16">
        <f t="shared" si="54"/>
        <v>2</v>
      </c>
      <c r="Q138" s="15">
        <f t="shared" si="59"/>
        <v>32.363636363636374</v>
      </c>
      <c r="R138" s="12">
        <f t="shared" si="60"/>
        <v>13.363636363636374</v>
      </c>
      <c r="S138" s="12">
        <f t="shared" si="61"/>
        <v>0.59090909090909083</v>
      </c>
      <c r="T138" s="12">
        <f t="shared" si="62"/>
        <v>0.59090909090909083</v>
      </c>
      <c r="U138" s="17">
        <f t="shared" si="63"/>
        <v>0.20147142048670075</v>
      </c>
      <c r="V138" s="17">
        <f t="shared" si="64"/>
        <v>8.3191850594227512E-2</v>
      </c>
      <c r="W138" s="17">
        <f t="shared" si="65"/>
        <v>0.41935483870967727</v>
      </c>
      <c r="X138" s="17">
        <f t="shared" si="66"/>
        <v>0.41935483870967727</v>
      </c>
      <c r="Y138" s="18">
        <f>+IFERROR(VLOOKUP(A138,[1]Hoja1!$A:$B,2,0),0)</f>
        <v>10</v>
      </c>
      <c r="Z138" s="18">
        <f>+IFERROR(VLOOKUP(A138,[1]Hoja1!$D:$E,2,0),0)</f>
        <v>0</v>
      </c>
      <c r="AA138" s="18">
        <f t="shared" si="67"/>
        <v>28</v>
      </c>
      <c r="AB138" s="18">
        <f t="shared" si="67"/>
        <v>0</v>
      </c>
      <c r="AC138">
        <f t="shared" si="68"/>
        <v>0</v>
      </c>
      <c r="AD138">
        <f t="shared" si="69"/>
        <v>0</v>
      </c>
      <c r="AE138">
        <f t="shared" si="70"/>
        <v>0</v>
      </c>
      <c r="AF138" s="17">
        <f t="shared" si="55"/>
        <v>0.13793103448275862</v>
      </c>
      <c r="AG138" s="17">
        <f t="shared" si="71"/>
        <v>0.14507772020725387</v>
      </c>
      <c r="AH138" s="18">
        <f t="shared" si="72"/>
        <v>54</v>
      </c>
      <c r="AI138" s="18">
        <f t="shared" si="72"/>
        <v>0</v>
      </c>
      <c r="AJ138">
        <f t="shared" si="73"/>
        <v>0</v>
      </c>
      <c r="AK138">
        <f t="shared" si="74"/>
        <v>0</v>
      </c>
      <c r="AL138">
        <f t="shared" si="75"/>
        <v>0</v>
      </c>
      <c r="AM138" s="17">
        <f t="shared" si="76"/>
        <v>0.13953488372093023</v>
      </c>
      <c r="AN138" s="17">
        <f t="shared" si="77"/>
        <v>0.14713896457765668</v>
      </c>
      <c r="AO138" s="18" t="str">
        <f>+IFERROR(VLOOKUP(A138,[2]Rank!$B:$E,4,0),"No Ganador")</f>
        <v>No Ganador</v>
      </c>
      <c r="AP138" s="18">
        <f>+VLOOKUP(D138,[2]Departamento!$A$1:$B$16,2,0)</f>
        <v>2</v>
      </c>
      <c r="AQ138">
        <f t="shared" si="78"/>
        <v>0</v>
      </c>
    </row>
    <row r="139" spans="1:43" x14ac:dyDescent="0.3">
      <c r="A139" t="s">
        <v>342</v>
      </c>
      <c r="B139" t="s">
        <v>343</v>
      </c>
      <c r="C139" t="s">
        <v>43</v>
      </c>
      <c r="D139" t="s">
        <v>44</v>
      </c>
      <c r="E139" s="10" t="s">
        <v>45</v>
      </c>
      <c r="F139" s="10" t="s">
        <v>46</v>
      </c>
      <c r="G139" s="11">
        <v>135</v>
      </c>
      <c r="H139" s="12">
        <v>166.27272727272725</v>
      </c>
      <c r="I139" s="12">
        <f t="shared" si="56"/>
        <v>166.27272727272725</v>
      </c>
      <c r="J139" s="13">
        <f t="shared" si="53"/>
        <v>200</v>
      </c>
      <c r="K139" s="14">
        <f t="shared" si="57"/>
        <v>181</v>
      </c>
      <c r="L139" s="15">
        <v>10</v>
      </c>
      <c r="M139" s="12">
        <v>18.31818181818182</v>
      </c>
      <c r="N139" s="12">
        <f t="shared" si="58"/>
        <v>18.31818181818182</v>
      </c>
      <c r="O139" s="13">
        <v>22</v>
      </c>
      <c r="P139" s="16">
        <f t="shared" si="54"/>
        <v>20</v>
      </c>
      <c r="Q139" s="15">
        <f t="shared" si="59"/>
        <v>33.727272727272748</v>
      </c>
      <c r="R139" s="12">
        <f t="shared" si="60"/>
        <v>14.727272727272748</v>
      </c>
      <c r="S139" s="12">
        <f t="shared" si="61"/>
        <v>3.6818181818181799</v>
      </c>
      <c r="T139" s="12">
        <f t="shared" si="62"/>
        <v>1.6818181818181799</v>
      </c>
      <c r="U139" s="17">
        <f t="shared" si="63"/>
        <v>0.20284308365226922</v>
      </c>
      <c r="V139" s="17">
        <f t="shared" si="64"/>
        <v>8.8572990705303667E-2</v>
      </c>
      <c r="W139" s="17">
        <f t="shared" si="65"/>
        <v>0.2009925558312653</v>
      </c>
      <c r="X139" s="17">
        <f t="shared" si="66"/>
        <v>9.1811414392059421E-2</v>
      </c>
      <c r="Y139" s="18">
        <f>+IFERROR(VLOOKUP(A139,[1]Hoja1!$A:$B,2,0),0)</f>
        <v>58</v>
      </c>
      <c r="Z139" s="18">
        <f>+IFERROR(VLOOKUP(A139,[1]Hoja1!$D:$E,2,0),0)</f>
        <v>3</v>
      </c>
      <c r="AA139" s="18">
        <f t="shared" si="67"/>
        <v>163</v>
      </c>
      <c r="AB139" s="18">
        <f t="shared" si="67"/>
        <v>8</v>
      </c>
      <c r="AC139">
        <f t="shared" si="68"/>
        <v>0</v>
      </c>
      <c r="AD139">
        <f t="shared" si="69"/>
        <v>0</v>
      </c>
      <c r="AE139">
        <f t="shared" si="70"/>
        <v>0</v>
      </c>
      <c r="AF139" s="17">
        <f t="shared" si="55"/>
        <v>0.65483870967741931</v>
      </c>
      <c r="AG139" s="17">
        <f t="shared" si="71"/>
        <v>0.81499999999999995</v>
      </c>
      <c r="AH139" s="18">
        <f t="shared" si="72"/>
        <v>311</v>
      </c>
      <c r="AI139" s="18">
        <f t="shared" si="72"/>
        <v>16</v>
      </c>
      <c r="AJ139">
        <f t="shared" si="73"/>
        <v>0</v>
      </c>
      <c r="AK139">
        <f t="shared" si="74"/>
        <v>0</v>
      </c>
      <c r="AL139">
        <f t="shared" si="75"/>
        <v>0</v>
      </c>
      <c r="AM139" s="17">
        <f t="shared" si="76"/>
        <v>0.66159052453468692</v>
      </c>
      <c r="AN139" s="17">
        <f t="shared" si="77"/>
        <v>0.81627296587926512</v>
      </c>
      <c r="AO139" s="18" t="str">
        <f>+IFERROR(VLOOKUP(A139,[2]Rank!$B:$E,4,0),"No Ganador")</f>
        <v>No Ganador</v>
      </c>
      <c r="AP139" s="18">
        <f>+VLOOKUP(D139,[2]Departamento!$A$1:$B$16,2,0)</f>
        <v>6</v>
      </c>
      <c r="AQ139">
        <f t="shared" si="78"/>
        <v>0</v>
      </c>
    </row>
    <row r="140" spans="1:43" x14ac:dyDescent="0.3">
      <c r="A140" t="s">
        <v>344</v>
      </c>
      <c r="B140" t="s">
        <v>345</v>
      </c>
      <c r="C140" t="s">
        <v>43</v>
      </c>
      <c r="D140" t="s">
        <v>90</v>
      </c>
      <c r="E140" s="10" t="s">
        <v>69</v>
      </c>
      <c r="F140" s="10" t="s">
        <v>75</v>
      </c>
      <c r="G140" s="11">
        <v>64</v>
      </c>
      <c r="H140" s="12">
        <v>88.77272727272728</v>
      </c>
      <c r="I140" s="12">
        <f t="shared" si="56"/>
        <v>88.77272727272728</v>
      </c>
      <c r="J140" s="13">
        <f t="shared" ref="J140:J203" si="79">ROUND(I140*1.2,0)</f>
        <v>107</v>
      </c>
      <c r="K140" s="14">
        <f t="shared" si="57"/>
        <v>97</v>
      </c>
      <c r="L140" s="15">
        <v>2</v>
      </c>
      <c r="M140" s="12">
        <v>4.2272727272727266</v>
      </c>
      <c r="N140" s="12">
        <f t="shared" si="58"/>
        <v>4.2272727272727266</v>
      </c>
      <c r="O140" s="13">
        <v>5</v>
      </c>
      <c r="P140" s="16">
        <f t="shared" si="54"/>
        <v>5</v>
      </c>
      <c r="Q140" s="15">
        <f t="shared" si="59"/>
        <v>18.22727272727272</v>
      </c>
      <c r="R140" s="12">
        <f t="shared" si="60"/>
        <v>8.2272727272727195</v>
      </c>
      <c r="S140" s="12">
        <f t="shared" si="61"/>
        <v>0.77272727272727337</v>
      </c>
      <c r="T140" s="12">
        <f t="shared" si="62"/>
        <v>0.77272727272727337</v>
      </c>
      <c r="U140" s="17">
        <f t="shared" si="63"/>
        <v>0.20532514080901176</v>
      </c>
      <c r="V140" s="17">
        <f t="shared" si="64"/>
        <v>9.2677931387608714E-2</v>
      </c>
      <c r="W140" s="17">
        <f t="shared" si="65"/>
        <v>0.18279569892473146</v>
      </c>
      <c r="X140" s="17">
        <f t="shared" si="66"/>
        <v>0.18279569892473146</v>
      </c>
      <c r="Y140" s="18">
        <f>+IFERROR(VLOOKUP(A140,[1]Hoja1!$A:$B,2,0),0)</f>
        <v>80</v>
      </c>
      <c r="Z140" s="18">
        <f>+IFERROR(VLOOKUP(A140,[1]Hoja1!$D:$E,2,0),0)</f>
        <v>7</v>
      </c>
      <c r="AA140" s="18">
        <f t="shared" si="67"/>
        <v>225</v>
      </c>
      <c r="AB140" s="18">
        <f t="shared" si="67"/>
        <v>20</v>
      </c>
      <c r="AC140">
        <f t="shared" si="68"/>
        <v>1</v>
      </c>
      <c r="AD140">
        <f t="shared" si="69"/>
        <v>1</v>
      </c>
      <c r="AE140">
        <f t="shared" si="70"/>
        <v>1</v>
      </c>
      <c r="AF140" s="17">
        <f t="shared" si="55"/>
        <v>2.4621212121212119</v>
      </c>
      <c r="AG140" s="17">
        <f t="shared" si="71"/>
        <v>2.1028037383177569</v>
      </c>
      <c r="AH140" s="18">
        <f t="shared" si="72"/>
        <v>429</v>
      </c>
      <c r="AI140" s="18">
        <f t="shared" si="72"/>
        <v>38</v>
      </c>
      <c r="AJ140">
        <f t="shared" si="73"/>
        <v>1</v>
      </c>
      <c r="AK140">
        <f t="shared" si="74"/>
        <v>1</v>
      </c>
      <c r="AL140">
        <f t="shared" si="75"/>
        <v>1</v>
      </c>
      <c r="AM140" s="17">
        <f t="shared" si="76"/>
        <v>2.4370078740157481</v>
      </c>
      <c r="AN140" s="17">
        <f t="shared" si="77"/>
        <v>2.1029411764705883</v>
      </c>
      <c r="AO140" s="18">
        <f>+IFERROR(VLOOKUP(A140,[2]Rank!$B:$E,4,0),"No Ganador")</f>
        <v>1</v>
      </c>
      <c r="AP140" s="18">
        <f>+VLOOKUP(D140,[2]Departamento!$A$1:$B$16,2,0)</f>
        <v>2</v>
      </c>
      <c r="AQ140">
        <f t="shared" si="78"/>
        <v>1</v>
      </c>
    </row>
    <row r="141" spans="1:43" x14ac:dyDescent="0.3">
      <c r="A141" t="s">
        <v>346</v>
      </c>
      <c r="B141" t="s">
        <v>347</v>
      </c>
      <c r="C141" t="s">
        <v>43</v>
      </c>
      <c r="D141" t="s">
        <v>44</v>
      </c>
      <c r="E141" s="10" t="s">
        <v>45</v>
      </c>
      <c r="F141" s="10" t="s">
        <v>46</v>
      </c>
      <c r="G141" s="11">
        <v>0</v>
      </c>
      <c r="H141" s="12">
        <v>102</v>
      </c>
      <c r="I141" s="12">
        <f t="shared" si="56"/>
        <v>102</v>
      </c>
      <c r="J141" s="13">
        <f t="shared" si="79"/>
        <v>122</v>
      </c>
      <c r="K141" s="14">
        <f t="shared" si="57"/>
        <v>110</v>
      </c>
      <c r="L141" s="15">
        <v>0</v>
      </c>
      <c r="M141" s="12">
        <v>7</v>
      </c>
      <c r="N141" s="12">
        <f t="shared" si="58"/>
        <v>7</v>
      </c>
      <c r="O141" s="13">
        <v>8</v>
      </c>
      <c r="P141" s="16">
        <f t="shared" si="54"/>
        <v>7</v>
      </c>
      <c r="Q141" s="15">
        <f t="shared" si="59"/>
        <v>20</v>
      </c>
      <c r="R141" s="12">
        <f t="shared" si="60"/>
        <v>8</v>
      </c>
      <c r="S141" s="12">
        <f t="shared" si="61"/>
        <v>1</v>
      </c>
      <c r="T141" s="12">
        <f t="shared" si="62"/>
        <v>0</v>
      </c>
      <c r="U141" s="17">
        <f t="shared" si="63"/>
        <v>0.19607843137254899</v>
      </c>
      <c r="V141" s="17">
        <f t="shared" si="64"/>
        <v>7.8431372549019551E-2</v>
      </c>
      <c r="W141" s="17">
        <f t="shared" si="65"/>
        <v>0.14285714285714279</v>
      </c>
      <c r="X141" s="17">
        <f t="shared" si="66"/>
        <v>0</v>
      </c>
      <c r="Y141" s="18">
        <f>+IFERROR(VLOOKUP(A141,[1]Hoja1!$A:$B,2,0),0)</f>
        <v>59</v>
      </c>
      <c r="Z141" s="18">
        <f>+IFERROR(VLOOKUP(A141,[1]Hoja1!$D:$E,2,0),0)</f>
        <v>6</v>
      </c>
      <c r="AA141" s="18">
        <f t="shared" si="67"/>
        <v>166</v>
      </c>
      <c r="AB141" s="18">
        <f t="shared" si="67"/>
        <v>17</v>
      </c>
      <c r="AC141">
        <f t="shared" si="68"/>
        <v>1</v>
      </c>
      <c r="AD141">
        <f t="shared" si="69"/>
        <v>1</v>
      </c>
      <c r="AE141">
        <f t="shared" si="70"/>
        <v>1</v>
      </c>
      <c r="AF141" s="17">
        <f t="shared" si="55"/>
        <v>1.5493827160493827</v>
      </c>
      <c r="AG141" s="17">
        <f t="shared" si="71"/>
        <v>1.360655737704918</v>
      </c>
      <c r="AH141" s="18">
        <f t="shared" si="72"/>
        <v>316</v>
      </c>
      <c r="AI141" s="18">
        <f t="shared" si="72"/>
        <v>32</v>
      </c>
      <c r="AJ141">
        <f t="shared" si="73"/>
        <v>1</v>
      </c>
      <c r="AK141">
        <f t="shared" si="74"/>
        <v>1</v>
      </c>
      <c r="AL141">
        <f t="shared" si="75"/>
        <v>1</v>
      </c>
      <c r="AM141" s="17">
        <f t="shared" si="76"/>
        <v>1.5504885993485342</v>
      </c>
      <c r="AN141" s="17">
        <f t="shared" si="77"/>
        <v>1.3620689655172413</v>
      </c>
      <c r="AO141" s="18">
        <f>+IFERROR(VLOOKUP(A141,[2]Rank!$B:$E,4,0),"No Ganador")</f>
        <v>4</v>
      </c>
      <c r="AP141" s="18">
        <f>+VLOOKUP(D141,[2]Departamento!$A$1:$B$16,2,0)</f>
        <v>6</v>
      </c>
      <c r="AQ141">
        <f t="shared" si="78"/>
        <v>1</v>
      </c>
    </row>
    <row r="142" spans="1:43" x14ac:dyDescent="0.3">
      <c r="A142" t="s">
        <v>348</v>
      </c>
      <c r="B142" t="s">
        <v>349</v>
      </c>
      <c r="C142" t="s">
        <v>43</v>
      </c>
      <c r="D142" t="s">
        <v>159</v>
      </c>
      <c r="E142" s="10" t="s">
        <v>57</v>
      </c>
      <c r="F142" s="10" t="s">
        <v>51</v>
      </c>
      <c r="G142" s="11">
        <v>189</v>
      </c>
      <c r="H142" s="12">
        <v>222.63636363636363</v>
      </c>
      <c r="I142" s="12">
        <f t="shared" si="56"/>
        <v>222.63636363636363</v>
      </c>
      <c r="J142" s="13">
        <f t="shared" si="79"/>
        <v>267</v>
      </c>
      <c r="K142" s="14">
        <f t="shared" si="57"/>
        <v>241</v>
      </c>
      <c r="L142" s="15">
        <v>12</v>
      </c>
      <c r="M142" s="12">
        <v>11.272727272727273</v>
      </c>
      <c r="N142" s="12">
        <f t="shared" si="58"/>
        <v>12</v>
      </c>
      <c r="O142" s="13">
        <v>14</v>
      </c>
      <c r="P142" s="16">
        <f t="shared" si="54"/>
        <v>13</v>
      </c>
      <c r="Q142" s="15">
        <f t="shared" si="59"/>
        <v>44.363636363636374</v>
      </c>
      <c r="R142" s="12">
        <f t="shared" si="60"/>
        <v>18.363636363636374</v>
      </c>
      <c r="S142" s="12">
        <f t="shared" si="61"/>
        <v>2.7272727272727266</v>
      </c>
      <c r="T142" s="12">
        <f t="shared" si="62"/>
        <v>1.7272727272727266</v>
      </c>
      <c r="U142" s="17">
        <f t="shared" si="63"/>
        <v>0.19926500612494902</v>
      </c>
      <c r="V142" s="17">
        <f t="shared" si="64"/>
        <v>8.2482645977950186E-2</v>
      </c>
      <c r="W142" s="17">
        <f t="shared" si="65"/>
        <v>0.24193548387096775</v>
      </c>
      <c r="X142" s="17">
        <f t="shared" si="66"/>
        <v>0.15322580645161277</v>
      </c>
      <c r="Y142" s="18">
        <f>+IFERROR(VLOOKUP(A142,[1]Hoja1!$A:$B,2,0),0)</f>
        <v>77</v>
      </c>
      <c r="Z142" s="18">
        <f>+IFERROR(VLOOKUP(A142,[1]Hoja1!$D:$E,2,0),0)</f>
        <v>3</v>
      </c>
      <c r="AA142" s="18">
        <f t="shared" si="67"/>
        <v>217</v>
      </c>
      <c r="AB142" s="18">
        <f t="shared" si="67"/>
        <v>8</v>
      </c>
      <c r="AC142">
        <f t="shared" si="68"/>
        <v>0</v>
      </c>
      <c r="AD142">
        <f t="shared" si="69"/>
        <v>0</v>
      </c>
      <c r="AE142">
        <f t="shared" si="70"/>
        <v>0</v>
      </c>
      <c r="AF142" s="17">
        <f t="shared" si="55"/>
        <v>0.76261127596439171</v>
      </c>
      <c r="AG142" s="17">
        <f t="shared" si="71"/>
        <v>0.81273408239700373</v>
      </c>
      <c r="AH142" s="18">
        <f t="shared" si="72"/>
        <v>413</v>
      </c>
      <c r="AI142" s="18">
        <f t="shared" si="72"/>
        <v>16</v>
      </c>
      <c r="AJ142">
        <f t="shared" si="73"/>
        <v>0</v>
      </c>
      <c r="AK142">
        <f t="shared" si="74"/>
        <v>0</v>
      </c>
      <c r="AL142">
        <f t="shared" si="75"/>
        <v>0</v>
      </c>
      <c r="AM142" s="17">
        <f t="shared" si="76"/>
        <v>0.76671850699844479</v>
      </c>
      <c r="AN142" s="17">
        <f t="shared" si="77"/>
        <v>0.81299212598425197</v>
      </c>
      <c r="AO142" s="18" t="str">
        <f>+IFERROR(VLOOKUP(A142,[2]Rank!$B:$E,4,0),"No Ganador")</f>
        <v>No Ganador</v>
      </c>
      <c r="AP142" s="18">
        <f>+VLOOKUP(D142,[2]Departamento!$A$1:$B$16,2,0)</f>
        <v>2</v>
      </c>
      <c r="AQ142">
        <f t="shared" si="78"/>
        <v>0</v>
      </c>
    </row>
    <row r="143" spans="1:43" x14ac:dyDescent="0.3">
      <c r="A143" t="s">
        <v>350</v>
      </c>
      <c r="B143" t="s">
        <v>351</v>
      </c>
      <c r="C143" t="s">
        <v>43</v>
      </c>
      <c r="D143" t="s">
        <v>159</v>
      </c>
      <c r="E143" s="10" t="s">
        <v>57</v>
      </c>
      <c r="F143" s="10" t="s">
        <v>51</v>
      </c>
      <c r="G143" s="11">
        <v>136</v>
      </c>
      <c r="H143" s="12">
        <v>163.45454545454544</v>
      </c>
      <c r="I143" s="12">
        <f t="shared" si="56"/>
        <v>163.45454545454544</v>
      </c>
      <c r="J143" s="13">
        <f t="shared" si="79"/>
        <v>196</v>
      </c>
      <c r="K143" s="14">
        <f t="shared" si="57"/>
        <v>177</v>
      </c>
      <c r="L143" s="15">
        <v>3</v>
      </c>
      <c r="M143" s="12">
        <v>4.2272727272727266</v>
      </c>
      <c r="N143" s="12">
        <f t="shared" si="58"/>
        <v>4.2272727272727266</v>
      </c>
      <c r="O143" s="13">
        <v>5</v>
      </c>
      <c r="P143" s="16">
        <f t="shared" si="54"/>
        <v>5</v>
      </c>
      <c r="Q143" s="15">
        <f t="shared" si="59"/>
        <v>32.545454545454561</v>
      </c>
      <c r="R143" s="12">
        <f t="shared" si="60"/>
        <v>13.545454545454561</v>
      </c>
      <c r="S143" s="12">
        <f t="shared" si="61"/>
        <v>0.77272727272727337</v>
      </c>
      <c r="T143" s="12">
        <f t="shared" si="62"/>
        <v>0.77272727272727337</v>
      </c>
      <c r="U143" s="17">
        <f t="shared" si="63"/>
        <v>0.19911012235817593</v>
      </c>
      <c r="V143" s="17">
        <f t="shared" si="64"/>
        <v>8.2869855394883229E-2</v>
      </c>
      <c r="W143" s="17">
        <f t="shared" si="65"/>
        <v>0.18279569892473146</v>
      </c>
      <c r="X143" s="17">
        <f t="shared" si="66"/>
        <v>0.18279569892473146</v>
      </c>
      <c r="Y143" s="18">
        <f>+IFERROR(VLOOKUP(A143,[1]Hoja1!$A:$B,2,0),0)</f>
        <v>39</v>
      </c>
      <c r="Z143" s="18">
        <f>+IFERROR(VLOOKUP(A143,[1]Hoja1!$D:$E,2,0),0)</f>
        <v>5</v>
      </c>
      <c r="AA143" s="18">
        <f t="shared" si="67"/>
        <v>110</v>
      </c>
      <c r="AB143" s="18">
        <f t="shared" si="67"/>
        <v>14</v>
      </c>
      <c r="AC143">
        <f t="shared" si="68"/>
        <v>0</v>
      </c>
      <c r="AD143">
        <f t="shared" si="69"/>
        <v>1</v>
      </c>
      <c r="AE143">
        <f t="shared" si="70"/>
        <v>0</v>
      </c>
      <c r="AF143" s="17">
        <f t="shared" si="55"/>
        <v>0.81447963800904977</v>
      </c>
      <c r="AG143" s="17">
        <f t="shared" si="71"/>
        <v>0.56122448979591832</v>
      </c>
      <c r="AH143" s="18">
        <f t="shared" si="72"/>
        <v>209</v>
      </c>
      <c r="AI143" s="18">
        <f t="shared" si="72"/>
        <v>27</v>
      </c>
      <c r="AJ143">
        <f t="shared" si="73"/>
        <v>0</v>
      </c>
      <c r="AK143">
        <f t="shared" si="74"/>
        <v>1</v>
      </c>
      <c r="AL143">
        <f t="shared" si="75"/>
        <v>0</v>
      </c>
      <c r="AM143" s="17">
        <f t="shared" si="76"/>
        <v>0.81323877068557915</v>
      </c>
      <c r="AN143" s="17">
        <f t="shared" si="77"/>
        <v>0.56032171581769441</v>
      </c>
      <c r="AO143" s="18" t="str">
        <f>+IFERROR(VLOOKUP(A143,[2]Rank!$B:$E,4,0),"No Ganador")</f>
        <v>No Ganador</v>
      </c>
      <c r="AP143" s="18">
        <f>+VLOOKUP(D143,[2]Departamento!$A$1:$B$16,2,0)</f>
        <v>2</v>
      </c>
      <c r="AQ143">
        <f t="shared" si="78"/>
        <v>0</v>
      </c>
    </row>
    <row r="144" spans="1:43" x14ac:dyDescent="0.3">
      <c r="A144" t="s">
        <v>352</v>
      </c>
      <c r="B144" t="s">
        <v>353</v>
      </c>
      <c r="C144" t="s">
        <v>43</v>
      </c>
      <c r="D144" t="s">
        <v>44</v>
      </c>
      <c r="E144" s="10" t="s">
        <v>45</v>
      </c>
      <c r="F144" s="10" t="s">
        <v>63</v>
      </c>
      <c r="G144" s="11">
        <v>93</v>
      </c>
      <c r="H144" s="12">
        <v>119.77272727272728</v>
      </c>
      <c r="I144" s="12">
        <f t="shared" si="56"/>
        <v>119.77272727272728</v>
      </c>
      <c r="J144" s="13">
        <f t="shared" si="79"/>
        <v>144</v>
      </c>
      <c r="K144" s="14">
        <f t="shared" si="57"/>
        <v>130</v>
      </c>
      <c r="L144" s="15">
        <v>3</v>
      </c>
      <c r="M144" s="12">
        <v>4.2272727272727266</v>
      </c>
      <c r="N144" s="12">
        <f t="shared" si="58"/>
        <v>4.2272727272727266</v>
      </c>
      <c r="O144" s="13">
        <v>5</v>
      </c>
      <c r="P144" s="16">
        <f t="shared" si="54"/>
        <v>5</v>
      </c>
      <c r="Q144" s="15">
        <f t="shared" si="59"/>
        <v>24.22727272727272</v>
      </c>
      <c r="R144" s="12">
        <f t="shared" si="60"/>
        <v>10.22727272727272</v>
      </c>
      <c r="S144" s="12">
        <f t="shared" si="61"/>
        <v>0.77272727272727337</v>
      </c>
      <c r="T144" s="12">
        <f t="shared" si="62"/>
        <v>0.77272727272727337</v>
      </c>
      <c r="U144" s="17">
        <f t="shared" si="63"/>
        <v>0.20227703984819723</v>
      </c>
      <c r="V144" s="17">
        <f t="shared" si="64"/>
        <v>8.5388994307400212E-2</v>
      </c>
      <c r="W144" s="17">
        <f t="shared" si="65"/>
        <v>0.18279569892473146</v>
      </c>
      <c r="X144" s="17">
        <f t="shared" si="66"/>
        <v>0.18279569892473146</v>
      </c>
      <c r="Y144" s="18">
        <f>+IFERROR(VLOOKUP(A144,[1]Hoja1!$A:$B,2,0),0)</f>
        <v>62</v>
      </c>
      <c r="Z144" s="18">
        <f>+IFERROR(VLOOKUP(A144,[1]Hoja1!$D:$E,2,0),0)</f>
        <v>4</v>
      </c>
      <c r="AA144" s="18">
        <f t="shared" si="67"/>
        <v>175</v>
      </c>
      <c r="AB144" s="18">
        <f t="shared" si="67"/>
        <v>11</v>
      </c>
      <c r="AC144">
        <f t="shared" si="68"/>
        <v>1</v>
      </c>
      <c r="AD144">
        <f t="shared" si="69"/>
        <v>1</v>
      </c>
      <c r="AE144">
        <f t="shared" si="70"/>
        <v>1</v>
      </c>
      <c r="AF144" s="17">
        <f t="shared" si="55"/>
        <v>1.3609467455621302</v>
      </c>
      <c r="AG144" s="17">
        <f t="shared" si="71"/>
        <v>1.2152777777777777</v>
      </c>
      <c r="AH144" s="18">
        <f t="shared" si="72"/>
        <v>333</v>
      </c>
      <c r="AI144" s="18">
        <f t="shared" si="72"/>
        <v>21</v>
      </c>
      <c r="AJ144">
        <f t="shared" si="73"/>
        <v>1</v>
      </c>
      <c r="AK144">
        <f t="shared" si="74"/>
        <v>1</v>
      </c>
      <c r="AL144">
        <f t="shared" si="75"/>
        <v>1</v>
      </c>
      <c r="AM144" s="17">
        <f t="shared" si="76"/>
        <v>1.3518518518518519</v>
      </c>
      <c r="AN144" s="17">
        <f t="shared" si="77"/>
        <v>1.2153284671532847</v>
      </c>
      <c r="AO144" s="18">
        <f>+IFERROR(VLOOKUP(A144,[2]Rank!$B:$E,4,0),"No Ganador")</f>
        <v>9</v>
      </c>
      <c r="AP144" s="18">
        <f>+VLOOKUP(D144,[2]Departamento!$A$1:$B$16,2,0)</f>
        <v>6</v>
      </c>
      <c r="AQ144">
        <f t="shared" si="78"/>
        <v>0</v>
      </c>
    </row>
    <row r="145" spans="1:43" x14ac:dyDescent="0.3">
      <c r="A145" t="s">
        <v>354</v>
      </c>
      <c r="B145" t="s">
        <v>355</v>
      </c>
      <c r="C145" t="s">
        <v>43</v>
      </c>
      <c r="D145" t="s">
        <v>44</v>
      </c>
      <c r="E145" s="10" t="s">
        <v>45</v>
      </c>
      <c r="F145" s="10" t="s">
        <v>46</v>
      </c>
      <c r="G145" s="11">
        <v>93</v>
      </c>
      <c r="H145" s="12">
        <v>119.77272727272728</v>
      </c>
      <c r="I145" s="12">
        <f t="shared" si="56"/>
        <v>119.77272727272728</v>
      </c>
      <c r="J145" s="13">
        <f t="shared" si="79"/>
        <v>144</v>
      </c>
      <c r="K145" s="14">
        <f t="shared" si="57"/>
        <v>130</v>
      </c>
      <c r="L145" s="15">
        <v>4</v>
      </c>
      <c r="M145" s="12">
        <v>2.8181818181818183</v>
      </c>
      <c r="N145" s="12">
        <f t="shared" si="58"/>
        <v>4</v>
      </c>
      <c r="O145" s="13">
        <v>5</v>
      </c>
      <c r="P145" s="16">
        <f t="shared" si="54"/>
        <v>5</v>
      </c>
      <c r="Q145" s="15">
        <f t="shared" si="59"/>
        <v>24.22727272727272</v>
      </c>
      <c r="R145" s="12">
        <f t="shared" si="60"/>
        <v>10.22727272727272</v>
      </c>
      <c r="S145" s="12">
        <f t="shared" si="61"/>
        <v>2.1818181818181817</v>
      </c>
      <c r="T145" s="12">
        <f t="shared" si="62"/>
        <v>2.1818181818181817</v>
      </c>
      <c r="U145" s="17">
        <f t="shared" si="63"/>
        <v>0.20227703984819723</v>
      </c>
      <c r="V145" s="17">
        <f t="shared" si="64"/>
        <v>8.5388994307400212E-2</v>
      </c>
      <c r="W145" s="17">
        <f t="shared" si="65"/>
        <v>0.77419354838709675</v>
      </c>
      <c r="X145" s="17">
        <f t="shared" si="66"/>
        <v>0.77419354838709675</v>
      </c>
      <c r="Y145" s="18">
        <f>+IFERROR(VLOOKUP(A145,[1]Hoja1!$A:$B,2,0),0)</f>
        <v>117</v>
      </c>
      <c r="Z145" s="18">
        <f>+IFERROR(VLOOKUP(A145,[1]Hoja1!$D:$E,2,0),0)</f>
        <v>3</v>
      </c>
      <c r="AA145" s="18">
        <f t="shared" si="67"/>
        <v>330</v>
      </c>
      <c r="AB145" s="18">
        <f t="shared" si="67"/>
        <v>8</v>
      </c>
      <c r="AC145">
        <f t="shared" si="68"/>
        <v>1</v>
      </c>
      <c r="AD145">
        <f t="shared" si="69"/>
        <v>1</v>
      </c>
      <c r="AE145">
        <f t="shared" si="70"/>
        <v>1</v>
      </c>
      <c r="AF145" s="17">
        <f t="shared" si="55"/>
        <v>2.1893491124260356</v>
      </c>
      <c r="AG145" s="17">
        <f t="shared" si="71"/>
        <v>2.2916666666666665</v>
      </c>
      <c r="AH145" s="18">
        <f t="shared" si="72"/>
        <v>628</v>
      </c>
      <c r="AI145" s="18">
        <f t="shared" si="72"/>
        <v>16</v>
      </c>
      <c r="AJ145">
        <f t="shared" si="73"/>
        <v>1</v>
      </c>
      <c r="AK145">
        <f t="shared" si="74"/>
        <v>1</v>
      </c>
      <c r="AL145">
        <f t="shared" si="75"/>
        <v>1</v>
      </c>
      <c r="AM145" s="17">
        <f t="shared" si="76"/>
        <v>2.1851851851851851</v>
      </c>
      <c r="AN145" s="17">
        <f t="shared" si="77"/>
        <v>2.2919708029197081</v>
      </c>
      <c r="AO145" s="18">
        <f>+IFERROR(VLOOKUP(A145,[2]Rank!$B:$E,4,0),"No Ganador")</f>
        <v>1</v>
      </c>
      <c r="AP145" s="18">
        <f>+VLOOKUP(D145,[2]Departamento!$A$1:$B$16,2,0)</f>
        <v>6</v>
      </c>
      <c r="AQ145">
        <f t="shared" si="78"/>
        <v>1</v>
      </c>
    </row>
    <row r="146" spans="1:43" x14ac:dyDescent="0.3">
      <c r="A146" t="s">
        <v>356</v>
      </c>
      <c r="B146" t="s">
        <v>357</v>
      </c>
      <c r="C146" t="s">
        <v>43</v>
      </c>
      <c r="D146" t="s">
        <v>99</v>
      </c>
      <c r="E146" s="10" t="s">
        <v>57</v>
      </c>
      <c r="F146" s="10" t="s">
        <v>46</v>
      </c>
      <c r="G146" s="11">
        <v>204</v>
      </c>
      <c r="H146" s="12">
        <v>235.31818181818181</v>
      </c>
      <c r="I146" s="12">
        <f t="shared" si="56"/>
        <v>235.31818181818181</v>
      </c>
      <c r="J146" s="13">
        <f t="shared" si="79"/>
        <v>282</v>
      </c>
      <c r="K146" s="14">
        <f t="shared" si="57"/>
        <v>255</v>
      </c>
      <c r="L146" s="15">
        <v>2</v>
      </c>
      <c r="M146" s="12">
        <v>8.4545454545454533</v>
      </c>
      <c r="N146" s="12">
        <f t="shared" si="58"/>
        <v>8.4545454545454533</v>
      </c>
      <c r="O146" s="13">
        <v>10</v>
      </c>
      <c r="P146" s="16">
        <f t="shared" si="54"/>
        <v>9</v>
      </c>
      <c r="Q146" s="15">
        <f t="shared" si="59"/>
        <v>46.681818181818187</v>
      </c>
      <c r="R146" s="12">
        <f t="shared" si="60"/>
        <v>19.681818181818187</v>
      </c>
      <c r="S146" s="12">
        <f t="shared" si="61"/>
        <v>1.5454545454545467</v>
      </c>
      <c r="T146" s="12">
        <f t="shared" si="62"/>
        <v>0.54545454545454675</v>
      </c>
      <c r="U146" s="17">
        <f t="shared" si="63"/>
        <v>0.19837743867104507</v>
      </c>
      <c r="V146" s="17">
        <f t="shared" si="64"/>
        <v>8.3639173266370603E-2</v>
      </c>
      <c r="W146" s="17">
        <f t="shared" si="65"/>
        <v>0.18279569892473146</v>
      </c>
      <c r="X146" s="17">
        <f t="shared" si="66"/>
        <v>6.4516129032258229E-2</v>
      </c>
      <c r="Y146" s="18">
        <f>+IFERROR(VLOOKUP(A146,[1]Hoja1!$A:$B,2,0),0)</f>
        <v>93</v>
      </c>
      <c r="Z146" s="18">
        <f>+IFERROR(VLOOKUP(A146,[1]Hoja1!$D:$E,2,0),0)</f>
        <v>11</v>
      </c>
      <c r="AA146" s="18">
        <f t="shared" si="67"/>
        <v>262</v>
      </c>
      <c r="AB146" s="18">
        <f t="shared" si="67"/>
        <v>31</v>
      </c>
      <c r="AC146">
        <f t="shared" si="68"/>
        <v>0</v>
      </c>
      <c r="AD146">
        <f t="shared" si="69"/>
        <v>1</v>
      </c>
      <c r="AE146">
        <f t="shared" si="70"/>
        <v>0</v>
      </c>
      <c r="AF146" s="17">
        <f t="shared" si="55"/>
        <v>1.2560240963855422</v>
      </c>
      <c r="AG146" s="17">
        <f t="shared" si="71"/>
        <v>0.92907801418439717</v>
      </c>
      <c r="AH146" s="18">
        <f t="shared" si="72"/>
        <v>499</v>
      </c>
      <c r="AI146" s="18">
        <f t="shared" si="72"/>
        <v>59</v>
      </c>
      <c r="AJ146">
        <f t="shared" si="73"/>
        <v>0</v>
      </c>
      <c r="AK146">
        <f t="shared" si="74"/>
        <v>1</v>
      </c>
      <c r="AL146">
        <f t="shared" si="75"/>
        <v>0</v>
      </c>
      <c r="AM146" s="17">
        <f t="shared" si="76"/>
        <v>1.2563291139240507</v>
      </c>
      <c r="AN146" s="17">
        <f t="shared" si="77"/>
        <v>0.92923649906890127</v>
      </c>
      <c r="AO146" s="18" t="str">
        <f>+IFERROR(VLOOKUP(A146,[2]Rank!$B:$E,4,0),"No Ganador")</f>
        <v>No Ganador</v>
      </c>
      <c r="AP146" s="18">
        <f>+VLOOKUP(D146,[2]Departamento!$A$1:$B$16,2,0)</f>
        <v>2</v>
      </c>
      <c r="AQ146">
        <f t="shared" si="78"/>
        <v>0</v>
      </c>
    </row>
    <row r="147" spans="1:43" x14ac:dyDescent="0.3">
      <c r="A147" t="s">
        <v>358</v>
      </c>
      <c r="B147" t="s">
        <v>359</v>
      </c>
      <c r="C147" t="s">
        <v>43</v>
      </c>
      <c r="D147" t="s">
        <v>90</v>
      </c>
      <c r="E147" s="10" t="s">
        <v>69</v>
      </c>
      <c r="F147" s="10" t="s">
        <v>75</v>
      </c>
      <c r="G147" s="11">
        <v>118</v>
      </c>
      <c r="H147" s="12">
        <v>149.36363636363637</v>
      </c>
      <c r="I147" s="12">
        <f t="shared" si="56"/>
        <v>149.36363636363637</v>
      </c>
      <c r="J147" s="13">
        <f t="shared" si="79"/>
        <v>179</v>
      </c>
      <c r="K147" s="14">
        <f t="shared" si="57"/>
        <v>162</v>
      </c>
      <c r="L147" s="15">
        <v>14</v>
      </c>
      <c r="M147" s="12">
        <v>19.727272727272727</v>
      </c>
      <c r="N147" s="12">
        <f t="shared" si="58"/>
        <v>19.727272727272727</v>
      </c>
      <c r="O147" s="13">
        <v>24</v>
      </c>
      <c r="P147" s="16">
        <f t="shared" si="54"/>
        <v>22</v>
      </c>
      <c r="Q147" s="15">
        <f t="shared" si="59"/>
        <v>29.636363636363626</v>
      </c>
      <c r="R147" s="12">
        <f t="shared" si="60"/>
        <v>12.636363636363626</v>
      </c>
      <c r="S147" s="12">
        <f t="shared" si="61"/>
        <v>4.2727272727272734</v>
      </c>
      <c r="T147" s="12">
        <f t="shared" si="62"/>
        <v>2.2727272727272734</v>
      </c>
      <c r="U147" s="17">
        <f t="shared" si="63"/>
        <v>0.19841752891052944</v>
      </c>
      <c r="V147" s="17">
        <f t="shared" si="64"/>
        <v>8.46013390139988E-2</v>
      </c>
      <c r="W147" s="17">
        <f t="shared" si="65"/>
        <v>0.21658986175115214</v>
      </c>
      <c r="X147" s="17">
        <f t="shared" si="66"/>
        <v>0.11520737327188946</v>
      </c>
      <c r="Y147" s="18">
        <f>+IFERROR(VLOOKUP(A147,[1]Hoja1!$A:$B,2,0),0)</f>
        <v>41</v>
      </c>
      <c r="Z147" s="18">
        <f>+IFERROR(VLOOKUP(A147,[1]Hoja1!$D:$E,2,0),0)</f>
        <v>5</v>
      </c>
      <c r="AA147" s="18">
        <f t="shared" si="67"/>
        <v>116</v>
      </c>
      <c r="AB147" s="18">
        <f t="shared" si="67"/>
        <v>14</v>
      </c>
      <c r="AC147">
        <f t="shared" si="68"/>
        <v>0</v>
      </c>
      <c r="AD147">
        <f t="shared" si="69"/>
        <v>0</v>
      </c>
      <c r="AE147">
        <f t="shared" si="70"/>
        <v>0</v>
      </c>
      <c r="AF147" s="17">
        <f t="shared" si="55"/>
        <v>0.62207357859531776</v>
      </c>
      <c r="AG147" s="17">
        <f t="shared" si="71"/>
        <v>0.64804469273743015</v>
      </c>
      <c r="AH147" s="18">
        <f t="shared" si="72"/>
        <v>220</v>
      </c>
      <c r="AI147" s="18">
        <f t="shared" si="72"/>
        <v>27</v>
      </c>
      <c r="AJ147">
        <f t="shared" si="73"/>
        <v>0</v>
      </c>
      <c r="AK147">
        <f t="shared" si="74"/>
        <v>0</v>
      </c>
      <c r="AL147">
        <f t="shared" si="75"/>
        <v>0</v>
      </c>
      <c r="AM147" s="17">
        <f t="shared" si="76"/>
        <v>0.62171628721541161</v>
      </c>
      <c r="AN147" s="17">
        <f t="shared" si="77"/>
        <v>0.64516129032258063</v>
      </c>
      <c r="AO147" s="18" t="str">
        <f>+IFERROR(VLOOKUP(A147,[2]Rank!$B:$E,4,0),"No Ganador")</f>
        <v>No Ganador</v>
      </c>
      <c r="AP147" s="18">
        <f>+VLOOKUP(D147,[2]Departamento!$A$1:$B$16,2,0)</f>
        <v>2</v>
      </c>
      <c r="AQ147">
        <f t="shared" si="78"/>
        <v>0</v>
      </c>
    </row>
    <row r="148" spans="1:43" x14ac:dyDescent="0.3">
      <c r="A148" t="s">
        <v>360</v>
      </c>
      <c r="B148" t="s">
        <v>361</v>
      </c>
      <c r="C148" t="s">
        <v>43</v>
      </c>
      <c r="D148" t="s">
        <v>99</v>
      </c>
      <c r="E148" s="10" t="s">
        <v>57</v>
      </c>
      <c r="F148" s="10" t="s">
        <v>46</v>
      </c>
      <c r="G148" s="11">
        <v>181</v>
      </c>
      <c r="H148" s="12">
        <v>212.77272727272725</v>
      </c>
      <c r="I148" s="12">
        <f t="shared" si="56"/>
        <v>212.77272727272725</v>
      </c>
      <c r="J148" s="13">
        <f t="shared" si="79"/>
        <v>255</v>
      </c>
      <c r="K148" s="14">
        <f t="shared" si="57"/>
        <v>230</v>
      </c>
      <c r="L148" s="15">
        <v>5</v>
      </c>
      <c r="M148" s="12">
        <v>5.6363636363636367</v>
      </c>
      <c r="N148" s="12">
        <f t="shared" si="58"/>
        <v>5.6363636363636367</v>
      </c>
      <c r="O148" s="13">
        <v>7</v>
      </c>
      <c r="P148" s="16">
        <f t="shared" si="54"/>
        <v>6</v>
      </c>
      <c r="Q148" s="15">
        <f t="shared" si="59"/>
        <v>42.227272727272748</v>
      </c>
      <c r="R148" s="12">
        <f t="shared" si="60"/>
        <v>17.227272727272748</v>
      </c>
      <c r="S148" s="12">
        <f t="shared" si="61"/>
        <v>1.3636363636363633</v>
      </c>
      <c r="T148" s="12">
        <f t="shared" si="62"/>
        <v>0.36363636363636331</v>
      </c>
      <c r="U148" s="17">
        <f t="shared" si="63"/>
        <v>0.19846186712240987</v>
      </c>
      <c r="V148" s="17">
        <f t="shared" si="64"/>
        <v>8.0965605639820692E-2</v>
      </c>
      <c r="W148" s="17">
        <f t="shared" si="65"/>
        <v>0.24193548387096775</v>
      </c>
      <c r="X148" s="17">
        <f t="shared" si="66"/>
        <v>6.4516129032258007E-2</v>
      </c>
      <c r="Y148" s="18">
        <f>+IFERROR(VLOOKUP(A148,[1]Hoja1!$A:$B,2,0),0)</f>
        <v>52</v>
      </c>
      <c r="Z148" s="18">
        <f>+IFERROR(VLOOKUP(A148,[1]Hoja1!$D:$E,2,0),0)</f>
        <v>2</v>
      </c>
      <c r="AA148" s="18">
        <f t="shared" si="67"/>
        <v>147</v>
      </c>
      <c r="AB148" s="18">
        <f t="shared" si="67"/>
        <v>6</v>
      </c>
      <c r="AC148">
        <f t="shared" si="68"/>
        <v>0</v>
      </c>
      <c r="AD148">
        <f t="shared" si="69"/>
        <v>0</v>
      </c>
      <c r="AE148">
        <f t="shared" si="70"/>
        <v>0</v>
      </c>
      <c r="AF148" s="17">
        <f t="shared" si="55"/>
        <v>0.6103448275862069</v>
      </c>
      <c r="AG148" s="17">
        <f t="shared" si="71"/>
        <v>0.57647058823529407</v>
      </c>
      <c r="AH148" s="18">
        <f t="shared" si="72"/>
        <v>279</v>
      </c>
      <c r="AI148" s="18">
        <f t="shared" si="72"/>
        <v>11</v>
      </c>
      <c r="AJ148">
        <f t="shared" si="73"/>
        <v>0</v>
      </c>
      <c r="AK148">
        <f t="shared" si="74"/>
        <v>0</v>
      </c>
      <c r="AL148">
        <f t="shared" si="75"/>
        <v>0</v>
      </c>
      <c r="AM148" s="17">
        <f t="shared" si="76"/>
        <v>0.6072727272727273</v>
      </c>
      <c r="AN148" s="17">
        <f t="shared" si="77"/>
        <v>0.57525773195876284</v>
      </c>
      <c r="AO148" s="18" t="str">
        <f>+IFERROR(VLOOKUP(A148,[2]Rank!$B:$E,4,0),"No Ganador")</f>
        <v>No Ganador</v>
      </c>
      <c r="AP148" s="18">
        <f>+VLOOKUP(D148,[2]Departamento!$A$1:$B$16,2,0)</f>
        <v>2</v>
      </c>
      <c r="AQ148">
        <f t="shared" si="78"/>
        <v>0</v>
      </c>
    </row>
    <row r="149" spans="1:43" x14ac:dyDescent="0.3">
      <c r="A149" t="s">
        <v>362</v>
      </c>
      <c r="B149" t="s">
        <v>363</v>
      </c>
      <c r="C149" t="s">
        <v>43</v>
      </c>
      <c r="D149" t="s">
        <v>90</v>
      </c>
      <c r="E149" s="10" t="s">
        <v>69</v>
      </c>
      <c r="F149" s="10" t="s">
        <v>75</v>
      </c>
      <c r="G149" s="11">
        <v>122</v>
      </c>
      <c r="H149" s="12">
        <v>155</v>
      </c>
      <c r="I149" s="12">
        <f t="shared" si="56"/>
        <v>155</v>
      </c>
      <c r="J149" s="13">
        <f t="shared" si="79"/>
        <v>186</v>
      </c>
      <c r="K149" s="14">
        <f t="shared" si="57"/>
        <v>168</v>
      </c>
      <c r="L149" s="15">
        <v>6</v>
      </c>
      <c r="M149" s="12">
        <v>5.6363636363636367</v>
      </c>
      <c r="N149" s="12">
        <f t="shared" si="58"/>
        <v>6</v>
      </c>
      <c r="O149" s="13">
        <v>7</v>
      </c>
      <c r="P149" s="16">
        <f t="shared" si="54"/>
        <v>6</v>
      </c>
      <c r="Q149" s="15">
        <f t="shared" si="59"/>
        <v>31</v>
      </c>
      <c r="R149" s="12">
        <f t="shared" si="60"/>
        <v>13</v>
      </c>
      <c r="S149" s="12">
        <f t="shared" si="61"/>
        <v>1.3636363636363633</v>
      </c>
      <c r="T149" s="12">
        <f t="shared" si="62"/>
        <v>0.36363636363636331</v>
      </c>
      <c r="U149" s="17">
        <f t="shared" si="63"/>
        <v>0.19999999999999996</v>
      </c>
      <c r="V149" s="17">
        <f t="shared" si="64"/>
        <v>8.3870967741935587E-2</v>
      </c>
      <c r="W149" s="17">
        <f t="shared" si="65"/>
        <v>0.24193548387096775</v>
      </c>
      <c r="X149" s="17">
        <f t="shared" si="66"/>
        <v>6.4516129032258007E-2</v>
      </c>
      <c r="Y149" s="18">
        <f>+IFERROR(VLOOKUP(A149,[1]Hoja1!$A:$B,2,0),0)</f>
        <v>107</v>
      </c>
      <c r="Z149" s="18">
        <f>+IFERROR(VLOOKUP(A149,[1]Hoja1!$D:$E,2,0),0)</f>
        <v>1</v>
      </c>
      <c r="AA149" s="18">
        <f t="shared" si="67"/>
        <v>302</v>
      </c>
      <c r="AB149" s="18">
        <f t="shared" si="67"/>
        <v>3</v>
      </c>
      <c r="AC149">
        <f t="shared" si="68"/>
        <v>1</v>
      </c>
      <c r="AD149">
        <f t="shared" si="69"/>
        <v>0</v>
      </c>
      <c r="AE149">
        <f t="shared" si="70"/>
        <v>0</v>
      </c>
      <c r="AF149" s="17">
        <f t="shared" si="55"/>
        <v>1.4343891402714932</v>
      </c>
      <c r="AG149" s="17">
        <f t="shared" si="71"/>
        <v>1.6236559139784945</v>
      </c>
      <c r="AH149" s="18">
        <f t="shared" si="72"/>
        <v>574</v>
      </c>
      <c r="AI149" s="18">
        <f t="shared" si="72"/>
        <v>5</v>
      </c>
      <c r="AJ149">
        <f t="shared" si="73"/>
        <v>1</v>
      </c>
      <c r="AK149">
        <f t="shared" si="74"/>
        <v>0</v>
      </c>
      <c r="AL149">
        <f t="shared" si="75"/>
        <v>0</v>
      </c>
      <c r="AM149" s="17">
        <f t="shared" si="76"/>
        <v>1.4295942720763724</v>
      </c>
      <c r="AN149" s="17">
        <f t="shared" si="77"/>
        <v>1.6214689265536724</v>
      </c>
      <c r="AO149" s="18" t="str">
        <f>+IFERROR(VLOOKUP(A149,[2]Rank!$B:$E,4,0),"No Ganador")</f>
        <v>No Ganador</v>
      </c>
      <c r="AP149" s="18">
        <f>+VLOOKUP(D149,[2]Departamento!$A$1:$B$16,2,0)</f>
        <v>2</v>
      </c>
      <c r="AQ149">
        <f t="shared" si="78"/>
        <v>0</v>
      </c>
    </row>
    <row r="150" spans="1:43" x14ac:dyDescent="0.3">
      <c r="A150" t="s">
        <v>364</v>
      </c>
      <c r="B150" t="s">
        <v>365</v>
      </c>
      <c r="C150" t="s">
        <v>43</v>
      </c>
      <c r="D150" t="s">
        <v>74</v>
      </c>
      <c r="E150" s="10" t="s">
        <v>57</v>
      </c>
      <c r="F150" s="10" t="s">
        <v>75</v>
      </c>
      <c r="G150" s="11">
        <v>242</v>
      </c>
      <c r="H150" s="12">
        <v>276.18181818181813</v>
      </c>
      <c r="I150" s="12">
        <f t="shared" si="56"/>
        <v>276.18181818181813</v>
      </c>
      <c r="J150" s="13">
        <f t="shared" si="79"/>
        <v>331</v>
      </c>
      <c r="K150" s="14">
        <f t="shared" si="57"/>
        <v>299</v>
      </c>
      <c r="L150" s="15">
        <v>39</v>
      </c>
      <c r="M150" s="12">
        <v>43.681818181818187</v>
      </c>
      <c r="N150" s="12">
        <f t="shared" si="58"/>
        <v>43.681818181818187</v>
      </c>
      <c r="O150" s="13">
        <v>52</v>
      </c>
      <c r="P150" s="16">
        <f t="shared" si="54"/>
        <v>47</v>
      </c>
      <c r="Q150" s="15">
        <f t="shared" si="59"/>
        <v>54.81818181818187</v>
      </c>
      <c r="R150" s="12">
        <f t="shared" si="60"/>
        <v>22.81818181818187</v>
      </c>
      <c r="S150" s="12">
        <f t="shared" si="61"/>
        <v>8.318181818181813</v>
      </c>
      <c r="T150" s="12">
        <f t="shared" si="62"/>
        <v>3.318181818181813</v>
      </c>
      <c r="U150" s="17">
        <f t="shared" si="63"/>
        <v>0.19848584595128393</v>
      </c>
      <c r="V150" s="17">
        <f t="shared" si="64"/>
        <v>8.2620144832126652E-2</v>
      </c>
      <c r="W150" s="17">
        <f t="shared" si="65"/>
        <v>0.19042663891779377</v>
      </c>
      <c r="X150" s="17">
        <f t="shared" si="66"/>
        <v>7.5962539021852127E-2</v>
      </c>
      <c r="Y150" s="18">
        <f>+IFERROR(VLOOKUP(A150,[1]Hoja1!$A:$B,2,0),0)</f>
        <v>113</v>
      </c>
      <c r="Z150" s="18">
        <f>+IFERROR(VLOOKUP(A150,[1]Hoja1!$D:$E,2,0),0)</f>
        <v>13</v>
      </c>
      <c r="AA150" s="18">
        <f t="shared" si="67"/>
        <v>318</v>
      </c>
      <c r="AB150" s="18">
        <f t="shared" si="67"/>
        <v>37</v>
      </c>
      <c r="AC150">
        <f t="shared" si="68"/>
        <v>0</v>
      </c>
      <c r="AD150">
        <f t="shared" si="69"/>
        <v>0</v>
      </c>
      <c r="AE150">
        <f t="shared" si="70"/>
        <v>0</v>
      </c>
      <c r="AF150" s="17">
        <f t="shared" si="55"/>
        <v>0.8510998307952623</v>
      </c>
      <c r="AG150" s="17">
        <f t="shared" si="71"/>
        <v>0.9607250755287009</v>
      </c>
      <c r="AH150" s="18">
        <f t="shared" si="72"/>
        <v>606</v>
      </c>
      <c r="AI150" s="18">
        <f t="shared" si="72"/>
        <v>70</v>
      </c>
      <c r="AJ150">
        <f t="shared" si="73"/>
        <v>0</v>
      </c>
      <c r="AK150">
        <f t="shared" si="74"/>
        <v>0</v>
      </c>
      <c r="AL150">
        <f t="shared" si="75"/>
        <v>0</v>
      </c>
      <c r="AM150" s="17">
        <f t="shared" si="76"/>
        <v>0.84977777777777774</v>
      </c>
      <c r="AN150" s="17">
        <f t="shared" si="77"/>
        <v>0.96190476190476193</v>
      </c>
      <c r="AO150" s="18" t="str">
        <f>+IFERROR(VLOOKUP(A150,[2]Rank!$B:$E,4,0),"No Ganador")</f>
        <v>No Ganador</v>
      </c>
      <c r="AP150" s="18">
        <f>+VLOOKUP(D150,[2]Departamento!$A$1:$B$16,2,0)</f>
        <v>2</v>
      </c>
      <c r="AQ150">
        <f t="shared" si="78"/>
        <v>0</v>
      </c>
    </row>
    <row r="151" spans="1:43" x14ac:dyDescent="0.3">
      <c r="A151" t="s">
        <v>366</v>
      </c>
      <c r="B151" t="s">
        <v>367</v>
      </c>
      <c r="C151" t="s">
        <v>43</v>
      </c>
      <c r="D151" t="s">
        <v>44</v>
      </c>
      <c r="E151" s="10" t="s">
        <v>45</v>
      </c>
      <c r="F151" s="10" t="s">
        <v>46</v>
      </c>
      <c r="G151" s="11">
        <v>91</v>
      </c>
      <c r="H151" s="12">
        <v>131.04545454545456</v>
      </c>
      <c r="I151" s="12">
        <f t="shared" si="56"/>
        <v>131.04545454545456</v>
      </c>
      <c r="J151" s="13">
        <f t="shared" si="79"/>
        <v>157</v>
      </c>
      <c r="K151" s="14">
        <f t="shared" si="57"/>
        <v>142</v>
      </c>
      <c r="L151" s="15">
        <v>0</v>
      </c>
      <c r="M151" s="12">
        <v>1.4090909090909092</v>
      </c>
      <c r="N151" s="12">
        <f t="shared" si="58"/>
        <v>1.4090909090909092</v>
      </c>
      <c r="O151" s="13">
        <v>2</v>
      </c>
      <c r="P151" s="16">
        <f t="shared" si="54"/>
        <v>2</v>
      </c>
      <c r="Q151" s="15">
        <f t="shared" si="59"/>
        <v>25.954545454545439</v>
      </c>
      <c r="R151" s="12">
        <f t="shared" si="60"/>
        <v>10.954545454545439</v>
      </c>
      <c r="S151" s="12">
        <f t="shared" si="61"/>
        <v>0.59090909090909083</v>
      </c>
      <c r="T151" s="12">
        <f t="shared" si="62"/>
        <v>0.59090909090909083</v>
      </c>
      <c r="U151" s="17">
        <f t="shared" si="63"/>
        <v>0.19805757891085651</v>
      </c>
      <c r="V151" s="17">
        <f t="shared" si="64"/>
        <v>8.3593479014914873E-2</v>
      </c>
      <c r="W151" s="17">
        <f t="shared" si="65"/>
        <v>0.41935483870967727</v>
      </c>
      <c r="X151" s="17">
        <f t="shared" si="66"/>
        <v>0.41935483870967727</v>
      </c>
      <c r="Y151" s="18">
        <f>+IFERROR(VLOOKUP(A151,[1]Hoja1!$A:$B,2,0),0)</f>
        <v>50</v>
      </c>
      <c r="Z151" s="18">
        <f>+IFERROR(VLOOKUP(A151,[1]Hoja1!$D:$E,2,0),0)</f>
        <v>3</v>
      </c>
      <c r="AA151" s="18">
        <f t="shared" si="67"/>
        <v>141</v>
      </c>
      <c r="AB151" s="18">
        <f t="shared" si="67"/>
        <v>8</v>
      </c>
      <c r="AC151">
        <f t="shared" si="68"/>
        <v>0</v>
      </c>
      <c r="AD151">
        <f t="shared" si="69"/>
        <v>1</v>
      </c>
      <c r="AE151">
        <f t="shared" si="70"/>
        <v>0</v>
      </c>
      <c r="AF151" s="17">
        <f t="shared" si="55"/>
        <v>1.0838323353293413</v>
      </c>
      <c r="AG151" s="17">
        <f t="shared" si="71"/>
        <v>0.89808917197452232</v>
      </c>
      <c r="AH151" s="18">
        <f t="shared" si="72"/>
        <v>268</v>
      </c>
      <c r="AI151" s="18">
        <f t="shared" si="72"/>
        <v>16</v>
      </c>
      <c r="AJ151">
        <f t="shared" si="73"/>
        <v>0</v>
      </c>
      <c r="AK151">
        <f t="shared" si="74"/>
        <v>1</v>
      </c>
      <c r="AL151">
        <f t="shared" si="75"/>
        <v>0</v>
      </c>
      <c r="AM151" s="17">
        <f t="shared" si="76"/>
        <v>1.0909090909090908</v>
      </c>
      <c r="AN151" s="17">
        <f t="shared" si="77"/>
        <v>0.89632107023411367</v>
      </c>
      <c r="AO151" s="18" t="str">
        <f>+IFERROR(VLOOKUP(A151,[2]Rank!$B:$E,4,0),"No Ganador")</f>
        <v>No Ganador</v>
      </c>
      <c r="AP151" s="18">
        <f>+VLOOKUP(D151,[2]Departamento!$A$1:$B$16,2,0)</f>
        <v>6</v>
      </c>
      <c r="AQ151">
        <f t="shared" si="78"/>
        <v>0</v>
      </c>
    </row>
    <row r="152" spans="1:43" x14ac:dyDescent="0.3">
      <c r="A152" t="s">
        <v>368</v>
      </c>
      <c r="B152" t="s">
        <v>369</v>
      </c>
      <c r="C152" t="s">
        <v>43</v>
      </c>
      <c r="D152" t="s">
        <v>113</v>
      </c>
      <c r="E152" s="10" t="s">
        <v>69</v>
      </c>
      <c r="F152" s="10" t="s">
        <v>114</v>
      </c>
      <c r="G152" s="11">
        <v>58</v>
      </c>
      <c r="H152" s="12">
        <v>95.818181818181813</v>
      </c>
      <c r="I152" s="12">
        <f t="shared" si="56"/>
        <v>95.818181818181813</v>
      </c>
      <c r="J152" s="13">
        <f t="shared" si="79"/>
        <v>115</v>
      </c>
      <c r="K152" s="14">
        <f t="shared" si="57"/>
        <v>104</v>
      </c>
      <c r="L152" s="15">
        <v>0</v>
      </c>
      <c r="M152" s="12">
        <v>1.4090909090909092</v>
      </c>
      <c r="N152" s="12">
        <f t="shared" si="58"/>
        <v>1.4090909090909092</v>
      </c>
      <c r="O152" s="13">
        <v>2</v>
      </c>
      <c r="P152" s="16">
        <f t="shared" si="54"/>
        <v>2</v>
      </c>
      <c r="Q152" s="15">
        <f t="shared" si="59"/>
        <v>19.181818181818187</v>
      </c>
      <c r="R152" s="12">
        <f t="shared" si="60"/>
        <v>8.181818181818187</v>
      </c>
      <c r="S152" s="12">
        <f t="shared" si="61"/>
        <v>0.59090909090909083</v>
      </c>
      <c r="T152" s="12">
        <f t="shared" si="62"/>
        <v>0.59090909090909083</v>
      </c>
      <c r="U152" s="17">
        <f t="shared" si="63"/>
        <v>0.20018975332068312</v>
      </c>
      <c r="V152" s="17">
        <f t="shared" si="64"/>
        <v>8.5388994307400434E-2</v>
      </c>
      <c r="W152" s="17">
        <f t="shared" si="65"/>
        <v>0.41935483870967727</v>
      </c>
      <c r="X152" s="17">
        <f t="shared" si="66"/>
        <v>0.41935483870967727</v>
      </c>
      <c r="Y152" s="18">
        <f>+IFERROR(VLOOKUP(A152,[1]Hoja1!$A:$B,2,0),0)</f>
        <v>14</v>
      </c>
      <c r="Z152" s="18">
        <f>+IFERROR(VLOOKUP(A152,[1]Hoja1!$D:$E,2,0),0)</f>
        <v>2</v>
      </c>
      <c r="AA152" s="18">
        <f t="shared" si="67"/>
        <v>39</v>
      </c>
      <c r="AB152" s="18">
        <f t="shared" si="67"/>
        <v>6</v>
      </c>
      <c r="AC152">
        <f t="shared" si="68"/>
        <v>0</v>
      </c>
      <c r="AD152">
        <f t="shared" si="69"/>
        <v>1</v>
      </c>
      <c r="AE152">
        <f t="shared" si="70"/>
        <v>0</v>
      </c>
      <c r="AF152" s="17">
        <f t="shared" si="55"/>
        <v>0.55200000000000005</v>
      </c>
      <c r="AG152" s="17">
        <f t="shared" si="71"/>
        <v>0.33913043478260868</v>
      </c>
      <c r="AH152" s="18">
        <f t="shared" si="72"/>
        <v>75</v>
      </c>
      <c r="AI152" s="18">
        <f t="shared" si="72"/>
        <v>11</v>
      </c>
      <c r="AJ152">
        <f t="shared" si="73"/>
        <v>0</v>
      </c>
      <c r="AK152">
        <f t="shared" si="74"/>
        <v>1</v>
      </c>
      <c r="AL152">
        <f t="shared" si="75"/>
        <v>0</v>
      </c>
      <c r="AM152" s="17">
        <f t="shared" si="76"/>
        <v>0.54393305439330542</v>
      </c>
      <c r="AN152" s="17">
        <f t="shared" si="77"/>
        <v>0.34246575342465752</v>
      </c>
      <c r="AO152" s="18" t="str">
        <f>+IFERROR(VLOOKUP(A152,[2]Rank!$B:$E,4,0),"No Ganador")</f>
        <v>No Ganador</v>
      </c>
      <c r="AP152" s="18">
        <f>+VLOOKUP(D152,[2]Departamento!$A$1:$B$16,2,0)</f>
        <v>1</v>
      </c>
      <c r="AQ152">
        <f t="shared" si="78"/>
        <v>0</v>
      </c>
    </row>
    <row r="153" spans="1:43" x14ac:dyDescent="0.3">
      <c r="A153" t="s">
        <v>370</v>
      </c>
      <c r="B153" t="s">
        <v>371</v>
      </c>
      <c r="C153" t="s">
        <v>43</v>
      </c>
      <c r="D153" t="s">
        <v>159</v>
      </c>
      <c r="E153" s="10" t="s">
        <v>57</v>
      </c>
      <c r="F153" s="10" t="s">
        <v>51</v>
      </c>
      <c r="G153" s="11">
        <v>192</v>
      </c>
      <c r="H153" s="12">
        <v>226.86363636363637</v>
      </c>
      <c r="I153" s="12">
        <f t="shared" si="56"/>
        <v>226.86363636363637</v>
      </c>
      <c r="J153" s="13">
        <f t="shared" si="79"/>
        <v>272</v>
      </c>
      <c r="K153" s="14">
        <f t="shared" si="57"/>
        <v>246</v>
      </c>
      <c r="L153" s="15">
        <v>19</v>
      </c>
      <c r="M153" s="12">
        <v>32.409090909090907</v>
      </c>
      <c r="N153" s="12">
        <f t="shared" si="58"/>
        <v>32.409090909090907</v>
      </c>
      <c r="O153" s="13">
        <v>39</v>
      </c>
      <c r="P153" s="16">
        <f t="shared" si="54"/>
        <v>35</v>
      </c>
      <c r="Q153" s="15">
        <f t="shared" si="59"/>
        <v>45.136363636363626</v>
      </c>
      <c r="R153" s="12">
        <f t="shared" si="60"/>
        <v>19.136363636363626</v>
      </c>
      <c r="S153" s="12">
        <f t="shared" si="61"/>
        <v>6.5909090909090935</v>
      </c>
      <c r="T153" s="12">
        <f t="shared" si="62"/>
        <v>2.5909090909090935</v>
      </c>
      <c r="U153" s="17">
        <f t="shared" si="63"/>
        <v>0.19895812462432372</v>
      </c>
      <c r="V153" s="17">
        <f t="shared" si="64"/>
        <v>8.4351833299939782E-2</v>
      </c>
      <c r="W153" s="17">
        <f t="shared" si="65"/>
        <v>0.20336605890603088</v>
      </c>
      <c r="X153" s="17">
        <f t="shared" si="66"/>
        <v>7.9943899018232845E-2</v>
      </c>
      <c r="Y153" s="18">
        <f>+IFERROR(VLOOKUP(A153,[1]Hoja1!$A:$B,2,0),0)</f>
        <v>113</v>
      </c>
      <c r="Z153" s="18">
        <f>+IFERROR(VLOOKUP(A153,[1]Hoja1!$D:$E,2,0),0)</f>
        <v>16</v>
      </c>
      <c r="AA153" s="18">
        <f t="shared" si="67"/>
        <v>318</v>
      </c>
      <c r="AB153" s="18">
        <f t="shared" si="67"/>
        <v>45</v>
      </c>
      <c r="AC153">
        <f t="shared" si="68"/>
        <v>1</v>
      </c>
      <c r="AD153">
        <f t="shared" si="69"/>
        <v>1</v>
      </c>
      <c r="AE153">
        <f t="shared" si="70"/>
        <v>1</v>
      </c>
      <c r="AF153" s="17">
        <f t="shared" si="55"/>
        <v>1.1627408993576016</v>
      </c>
      <c r="AG153" s="17">
        <f t="shared" si="71"/>
        <v>1.1691176470588236</v>
      </c>
      <c r="AH153" s="18">
        <f t="shared" si="72"/>
        <v>606</v>
      </c>
      <c r="AI153" s="18">
        <f t="shared" si="72"/>
        <v>86</v>
      </c>
      <c r="AJ153">
        <f t="shared" si="73"/>
        <v>1</v>
      </c>
      <c r="AK153">
        <f t="shared" si="74"/>
        <v>1</v>
      </c>
      <c r="AL153">
        <f t="shared" si="75"/>
        <v>1</v>
      </c>
      <c r="AM153" s="17">
        <f t="shared" si="76"/>
        <v>1.1666666666666667</v>
      </c>
      <c r="AN153" s="17">
        <f t="shared" si="77"/>
        <v>1.16988416988417</v>
      </c>
      <c r="AO153" s="18">
        <f>+IFERROR(VLOOKUP(A153,[2]Rank!$B:$E,4,0),"No Ganador")</f>
        <v>2</v>
      </c>
      <c r="AP153" s="18">
        <f>+VLOOKUP(D153,[2]Departamento!$A$1:$B$16,2,0)</f>
        <v>2</v>
      </c>
      <c r="AQ153">
        <f t="shared" si="78"/>
        <v>1</v>
      </c>
    </row>
    <row r="154" spans="1:43" x14ac:dyDescent="0.3">
      <c r="A154" t="s">
        <v>372</v>
      </c>
      <c r="B154" t="s">
        <v>373</v>
      </c>
      <c r="C154" t="s">
        <v>43</v>
      </c>
      <c r="D154" t="s">
        <v>130</v>
      </c>
      <c r="E154" s="10" t="s">
        <v>57</v>
      </c>
      <c r="F154" s="10" t="s">
        <v>58</v>
      </c>
      <c r="G154" s="11">
        <v>225</v>
      </c>
      <c r="H154" s="12">
        <v>271.9545454545455</v>
      </c>
      <c r="I154" s="12">
        <f t="shared" si="56"/>
        <v>271.9545454545455</v>
      </c>
      <c r="J154" s="13">
        <f t="shared" si="79"/>
        <v>326</v>
      </c>
      <c r="K154" s="14">
        <f t="shared" si="57"/>
        <v>294</v>
      </c>
      <c r="L154" s="15">
        <v>4</v>
      </c>
      <c r="M154" s="12">
        <v>5.6363636363636367</v>
      </c>
      <c r="N154" s="12">
        <f t="shared" si="58"/>
        <v>5.6363636363636367</v>
      </c>
      <c r="O154" s="13">
        <v>7</v>
      </c>
      <c r="P154" s="16">
        <f t="shared" si="54"/>
        <v>6</v>
      </c>
      <c r="Q154" s="15">
        <f t="shared" si="59"/>
        <v>54.045454545454504</v>
      </c>
      <c r="R154" s="12">
        <f t="shared" si="60"/>
        <v>22.045454545454504</v>
      </c>
      <c r="S154" s="12">
        <f t="shared" si="61"/>
        <v>1.3636363636363633</v>
      </c>
      <c r="T154" s="12">
        <f t="shared" si="62"/>
        <v>0.36363636363636331</v>
      </c>
      <c r="U154" s="17">
        <f t="shared" si="63"/>
        <v>0.19872973424703311</v>
      </c>
      <c r="V154" s="17">
        <f t="shared" si="64"/>
        <v>8.1063011866956192E-2</v>
      </c>
      <c r="W154" s="17">
        <f t="shared" si="65"/>
        <v>0.24193548387096775</v>
      </c>
      <c r="X154" s="17">
        <f t="shared" si="66"/>
        <v>6.4516129032258007E-2</v>
      </c>
      <c r="Y154" s="18">
        <f>+IFERROR(VLOOKUP(A154,[1]Hoja1!$A:$B,2,0),0)</f>
        <v>63</v>
      </c>
      <c r="Z154" s="18">
        <f>+IFERROR(VLOOKUP(A154,[1]Hoja1!$D:$E,2,0),0)</f>
        <v>4</v>
      </c>
      <c r="AA154" s="18">
        <f t="shared" si="67"/>
        <v>178</v>
      </c>
      <c r="AB154" s="18">
        <f t="shared" si="67"/>
        <v>11</v>
      </c>
      <c r="AC154">
        <f t="shared" si="68"/>
        <v>0</v>
      </c>
      <c r="AD154">
        <f t="shared" si="69"/>
        <v>1</v>
      </c>
      <c r="AE154">
        <f t="shared" si="70"/>
        <v>0</v>
      </c>
      <c r="AF154" s="17">
        <f t="shared" si="55"/>
        <v>0.64542936288088648</v>
      </c>
      <c r="AG154" s="17">
        <f t="shared" si="71"/>
        <v>0.54601226993865026</v>
      </c>
      <c r="AH154" s="18">
        <f t="shared" si="72"/>
        <v>338</v>
      </c>
      <c r="AI154" s="18">
        <f t="shared" si="72"/>
        <v>21</v>
      </c>
      <c r="AJ154">
        <f t="shared" si="73"/>
        <v>0</v>
      </c>
      <c r="AK154">
        <f t="shared" si="74"/>
        <v>1</v>
      </c>
      <c r="AL154">
        <f t="shared" si="75"/>
        <v>0</v>
      </c>
      <c r="AM154" s="17">
        <f t="shared" si="76"/>
        <v>0.64671532846715329</v>
      </c>
      <c r="AN154" s="17">
        <f t="shared" si="77"/>
        <v>0.54516129032258065</v>
      </c>
      <c r="AO154" s="18" t="str">
        <f>+IFERROR(VLOOKUP(A154,[2]Rank!$B:$E,4,0),"No Ganador")</f>
        <v>No Ganador</v>
      </c>
      <c r="AP154" s="18">
        <f>+VLOOKUP(D154,[2]Departamento!$A$1:$B$16,2,0)</f>
        <v>1</v>
      </c>
      <c r="AQ154">
        <f t="shared" si="78"/>
        <v>0</v>
      </c>
    </row>
    <row r="155" spans="1:43" x14ac:dyDescent="0.3">
      <c r="A155" t="s">
        <v>374</v>
      </c>
      <c r="B155" t="s">
        <v>375</v>
      </c>
      <c r="C155" t="s">
        <v>43</v>
      </c>
      <c r="D155" t="s">
        <v>44</v>
      </c>
      <c r="E155" s="10" t="s">
        <v>45</v>
      </c>
      <c r="F155" s="10" t="s">
        <v>63</v>
      </c>
      <c r="G155" s="11">
        <v>144</v>
      </c>
      <c r="H155" s="12">
        <v>183.18181818181819</v>
      </c>
      <c r="I155" s="12">
        <f t="shared" si="56"/>
        <v>183.18181818181819</v>
      </c>
      <c r="J155" s="13">
        <f t="shared" si="79"/>
        <v>220</v>
      </c>
      <c r="K155" s="14">
        <f t="shared" si="57"/>
        <v>199</v>
      </c>
      <c r="L155" s="15">
        <v>3</v>
      </c>
      <c r="M155" s="12">
        <v>5.6363636363636367</v>
      </c>
      <c r="N155" s="12">
        <f t="shared" si="58"/>
        <v>5.6363636363636367</v>
      </c>
      <c r="O155" s="13">
        <v>7</v>
      </c>
      <c r="P155" s="16">
        <f t="shared" si="54"/>
        <v>6</v>
      </c>
      <c r="Q155" s="15">
        <f t="shared" si="59"/>
        <v>36.818181818181813</v>
      </c>
      <c r="R155" s="12">
        <f t="shared" si="60"/>
        <v>15.818181818181813</v>
      </c>
      <c r="S155" s="12">
        <f t="shared" si="61"/>
        <v>1.3636363636363633</v>
      </c>
      <c r="T155" s="12">
        <f t="shared" si="62"/>
        <v>0.36363636363636331</v>
      </c>
      <c r="U155" s="17">
        <f t="shared" si="63"/>
        <v>0.20099255583126552</v>
      </c>
      <c r="V155" s="17">
        <f t="shared" si="64"/>
        <v>8.6352357320099271E-2</v>
      </c>
      <c r="W155" s="17">
        <f t="shared" si="65"/>
        <v>0.24193548387096775</v>
      </c>
      <c r="X155" s="17">
        <f t="shared" si="66"/>
        <v>6.4516129032258007E-2</v>
      </c>
      <c r="Y155" s="18">
        <f>+IFERROR(VLOOKUP(A155,[1]Hoja1!$A:$B,2,0),0)</f>
        <v>64</v>
      </c>
      <c r="Z155" s="18">
        <f>+IFERROR(VLOOKUP(A155,[1]Hoja1!$D:$E,2,0),0)</f>
        <v>7</v>
      </c>
      <c r="AA155" s="18">
        <f t="shared" si="67"/>
        <v>180</v>
      </c>
      <c r="AB155" s="18">
        <f t="shared" si="67"/>
        <v>20</v>
      </c>
      <c r="AC155">
        <f t="shared" si="68"/>
        <v>0</v>
      </c>
      <c r="AD155">
        <f t="shared" si="69"/>
        <v>1</v>
      </c>
      <c r="AE155">
        <f t="shared" si="70"/>
        <v>0</v>
      </c>
      <c r="AF155" s="17">
        <f t="shared" si="55"/>
        <v>1.0980392156862746</v>
      </c>
      <c r="AG155" s="17">
        <f t="shared" si="71"/>
        <v>0.81818181818181823</v>
      </c>
      <c r="AH155" s="18">
        <f t="shared" si="72"/>
        <v>343</v>
      </c>
      <c r="AI155" s="18">
        <f t="shared" si="72"/>
        <v>38</v>
      </c>
      <c r="AJ155">
        <f t="shared" si="73"/>
        <v>0</v>
      </c>
      <c r="AK155">
        <f t="shared" si="74"/>
        <v>1</v>
      </c>
      <c r="AL155">
        <f t="shared" si="75"/>
        <v>0</v>
      </c>
      <c r="AM155" s="17">
        <f t="shared" si="76"/>
        <v>1.1012396694214877</v>
      </c>
      <c r="AN155" s="17">
        <f t="shared" si="77"/>
        <v>0.81861575178997614</v>
      </c>
      <c r="AO155" s="18" t="str">
        <f>+IFERROR(VLOOKUP(A155,[2]Rank!$B:$E,4,0),"No Ganador")</f>
        <v>No Ganador</v>
      </c>
      <c r="AP155" s="18">
        <f>+VLOOKUP(D155,[2]Departamento!$A$1:$B$16,2,0)</f>
        <v>6</v>
      </c>
      <c r="AQ155">
        <f t="shared" si="78"/>
        <v>0</v>
      </c>
    </row>
    <row r="156" spans="1:43" x14ac:dyDescent="0.3">
      <c r="A156" t="s">
        <v>376</v>
      </c>
      <c r="B156" t="s">
        <v>377</v>
      </c>
      <c r="C156" t="s">
        <v>43</v>
      </c>
      <c r="D156" t="s">
        <v>44</v>
      </c>
      <c r="E156" s="10" t="s">
        <v>45</v>
      </c>
      <c r="F156" s="10" t="s">
        <v>63</v>
      </c>
      <c r="G156" s="11">
        <v>179</v>
      </c>
      <c r="H156" s="12">
        <v>218.40909090909093</v>
      </c>
      <c r="I156" s="12">
        <f t="shared" si="56"/>
        <v>218.40909090909093</v>
      </c>
      <c r="J156" s="13">
        <f t="shared" si="79"/>
        <v>262</v>
      </c>
      <c r="K156" s="14">
        <f t="shared" si="57"/>
        <v>237</v>
      </c>
      <c r="L156" s="15">
        <v>10</v>
      </c>
      <c r="M156" s="12">
        <v>18.31818181818182</v>
      </c>
      <c r="N156" s="12">
        <f t="shared" si="58"/>
        <v>18.31818181818182</v>
      </c>
      <c r="O156" s="13">
        <v>22</v>
      </c>
      <c r="P156" s="16">
        <f t="shared" si="54"/>
        <v>20</v>
      </c>
      <c r="Q156" s="15">
        <f t="shared" si="59"/>
        <v>43.590909090909065</v>
      </c>
      <c r="R156" s="12">
        <f t="shared" si="60"/>
        <v>18.590909090909065</v>
      </c>
      <c r="S156" s="12">
        <f t="shared" si="61"/>
        <v>3.6818181818181799</v>
      </c>
      <c r="T156" s="12">
        <f t="shared" si="62"/>
        <v>1.6818181818181799</v>
      </c>
      <c r="U156" s="17">
        <f t="shared" si="63"/>
        <v>0.19958376690946911</v>
      </c>
      <c r="V156" s="17">
        <f t="shared" si="64"/>
        <v>8.5119667013527467E-2</v>
      </c>
      <c r="W156" s="17">
        <f t="shared" si="65"/>
        <v>0.2009925558312653</v>
      </c>
      <c r="X156" s="17">
        <f t="shared" si="66"/>
        <v>9.1811414392059421E-2</v>
      </c>
      <c r="Y156" s="18">
        <f>+IFERROR(VLOOKUP(A156,[1]Hoja1!$A:$B,2,0),0)</f>
        <v>75</v>
      </c>
      <c r="Z156" s="18">
        <f>+IFERROR(VLOOKUP(A156,[1]Hoja1!$D:$E,2,0),0)</f>
        <v>5</v>
      </c>
      <c r="AA156" s="18">
        <f t="shared" si="67"/>
        <v>211</v>
      </c>
      <c r="AB156" s="18">
        <f t="shared" si="67"/>
        <v>14</v>
      </c>
      <c r="AC156">
        <f t="shared" si="68"/>
        <v>0</v>
      </c>
      <c r="AD156">
        <f t="shared" si="69"/>
        <v>0</v>
      </c>
      <c r="AE156">
        <f t="shared" si="70"/>
        <v>0</v>
      </c>
      <c r="AF156" s="17">
        <f t="shared" si="55"/>
        <v>0.7553763440860215</v>
      </c>
      <c r="AG156" s="17">
        <f t="shared" si="71"/>
        <v>0.80534351145038163</v>
      </c>
      <c r="AH156" s="18">
        <f t="shared" si="72"/>
        <v>402</v>
      </c>
      <c r="AI156" s="18">
        <f t="shared" si="72"/>
        <v>27</v>
      </c>
      <c r="AJ156">
        <f t="shared" si="73"/>
        <v>0</v>
      </c>
      <c r="AK156">
        <f t="shared" si="74"/>
        <v>0</v>
      </c>
      <c r="AL156">
        <f t="shared" si="75"/>
        <v>0</v>
      </c>
      <c r="AM156" s="17">
        <f t="shared" si="76"/>
        <v>0.75740479548660089</v>
      </c>
      <c r="AN156" s="17">
        <f t="shared" si="77"/>
        <v>0.80561122244488981</v>
      </c>
      <c r="AO156" s="18" t="str">
        <f>+IFERROR(VLOOKUP(A156,[2]Rank!$B:$E,4,0),"No Ganador")</f>
        <v>No Ganador</v>
      </c>
      <c r="AP156" s="18">
        <f>+VLOOKUP(D156,[2]Departamento!$A$1:$B$16,2,0)</f>
        <v>6</v>
      </c>
      <c r="AQ156">
        <f t="shared" si="78"/>
        <v>0</v>
      </c>
    </row>
    <row r="157" spans="1:43" x14ac:dyDescent="0.3">
      <c r="A157" t="s">
        <v>378</v>
      </c>
      <c r="B157" t="s">
        <v>379</v>
      </c>
      <c r="C157" t="s">
        <v>43</v>
      </c>
      <c r="D157" t="s">
        <v>44</v>
      </c>
      <c r="E157" s="10" t="s">
        <v>45</v>
      </c>
      <c r="F157" s="10" t="s">
        <v>46</v>
      </c>
      <c r="G157" s="11">
        <v>124</v>
      </c>
      <c r="H157" s="12">
        <v>163.45454545454544</v>
      </c>
      <c r="I157" s="12">
        <f t="shared" si="56"/>
        <v>163.45454545454544</v>
      </c>
      <c r="J157" s="13">
        <f t="shared" si="79"/>
        <v>196</v>
      </c>
      <c r="K157" s="14">
        <f t="shared" si="57"/>
        <v>177</v>
      </c>
      <c r="L157" s="15">
        <v>4</v>
      </c>
      <c r="M157" s="12">
        <v>2.8181818181818183</v>
      </c>
      <c r="N157" s="12">
        <f t="shared" si="58"/>
        <v>4</v>
      </c>
      <c r="O157" s="13">
        <v>5</v>
      </c>
      <c r="P157" s="16">
        <f t="shared" ref="P157:P212" si="80">ROUND(O157/31*28,0)</f>
        <v>5</v>
      </c>
      <c r="Q157" s="15">
        <f t="shared" si="59"/>
        <v>32.545454545454561</v>
      </c>
      <c r="R157" s="12">
        <f t="shared" si="60"/>
        <v>13.545454545454561</v>
      </c>
      <c r="S157" s="12">
        <f t="shared" si="61"/>
        <v>2.1818181818181817</v>
      </c>
      <c r="T157" s="12">
        <f t="shared" si="62"/>
        <v>2.1818181818181817</v>
      </c>
      <c r="U157" s="17">
        <f t="shared" si="63"/>
        <v>0.19911012235817593</v>
      </c>
      <c r="V157" s="17">
        <f t="shared" si="64"/>
        <v>8.2869855394883229E-2</v>
      </c>
      <c r="W157" s="17">
        <f t="shared" si="65"/>
        <v>0.77419354838709675</v>
      </c>
      <c r="X157" s="17">
        <f t="shared" si="66"/>
        <v>0.77419354838709675</v>
      </c>
      <c r="Y157" s="18">
        <f>+IFERROR(VLOOKUP(A157,[1]Hoja1!$A:$B,2,0),0)</f>
        <v>25</v>
      </c>
      <c r="Z157" s="18">
        <f>+IFERROR(VLOOKUP(A157,[1]Hoja1!$D:$E,2,0),0)</f>
        <v>1</v>
      </c>
      <c r="AA157" s="18">
        <f t="shared" si="67"/>
        <v>70</v>
      </c>
      <c r="AB157" s="18">
        <f t="shared" si="67"/>
        <v>3</v>
      </c>
      <c r="AC157">
        <f t="shared" si="68"/>
        <v>0</v>
      </c>
      <c r="AD157">
        <f t="shared" si="69"/>
        <v>0</v>
      </c>
      <c r="AE157">
        <f t="shared" si="70"/>
        <v>0</v>
      </c>
      <c r="AF157" s="17">
        <f t="shared" ref="AF157:AF212" si="81">+(AA157+(5*AB157))/(J157+(5*O157))</f>
        <v>0.38461538461538464</v>
      </c>
      <c r="AG157" s="17">
        <f t="shared" si="71"/>
        <v>0.35714285714285715</v>
      </c>
      <c r="AH157" s="18">
        <f t="shared" si="72"/>
        <v>134</v>
      </c>
      <c r="AI157" s="18">
        <f t="shared" si="72"/>
        <v>5</v>
      </c>
      <c r="AJ157">
        <f t="shared" si="73"/>
        <v>0</v>
      </c>
      <c r="AK157">
        <f t="shared" si="74"/>
        <v>0</v>
      </c>
      <c r="AL157">
        <f t="shared" si="75"/>
        <v>0</v>
      </c>
      <c r="AM157" s="17">
        <f t="shared" si="76"/>
        <v>0.37588652482269502</v>
      </c>
      <c r="AN157" s="17">
        <f t="shared" si="77"/>
        <v>0.35924932975871315</v>
      </c>
      <c r="AO157" s="18" t="str">
        <f>+IFERROR(VLOOKUP(A157,[2]Rank!$B:$E,4,0),"No Ganador")</f>
        <v>No Ganador</v>
      </c>
      <c r="AP157" s="18">
        <f>+VLOOKUP(D157,[2]Departamento!$A$1:$B$16,2,0)</f>
        <v>6</v>
      </c>
      <c r="AQ157">
        <f t="shared" si="78"/>
        <v>0</v>
      </c>
    </row>
    <row r="158" spans="1:43" x14ac:dyDescent="0.3">
      <c r="A158" t="s">
        <v>380</v>
      </c>
      <c r="B158" t="s">
        <v>381</v>
      </c>
      <c r="C158" t="s">
        <v>43</v>
      </c>
      <c r="D158" t="s">
        <v>44</v>
      </c>
      <c r="E158" s="10" t="s">
        <v>45</v>
      </c>
      <c r="F158" s="10" t="s">
        <v>63</v>
      </c>
      <c r="G158" s="11">
        <v>91</v>
      </c>
      <c r="H158" s="12">
        <v>129.63636363636363</v>
      </c>
      <c r="I158" s="12">
        <f t="shared" si="56"/>
        <v>129.63636363636363</v>
      </c>
      <c r="J158" s="13">
        <f t="shared" si="79"/>
        <v>156</v>
      </c>
      <c r="K158" s="14">
        <f t="shared" si="57"/>
        <v>141</v>
      </c>
      <c r="L158" s="15">
        <v>1</v>
      </c>
      <c r="M158" s="12">
        <v>1.4090909090909092</v>
      </c>
      <c r="N158" s="12">
        <f t="shared" si="58"/>
        <v>1.4090909090909092</v>
      </c>
      <c r="O158" s="13">
        <v>2</v>
      </c>
      <c r="P158" s="16">
        <f t="shared" si="80"/>
        <v>2</v>
      </c>
      <c r="Q158" s="15">
        <f t="shared" si="59"/>
        <v>26.363636363636374</v>
      </c>
      <c r="R158" s="12">
        <f t="shared" si="60"/>
        <v>11.363636363636374</v>
      </c>
      <c r="S158" s="12">
        <f t="shared" si="61"/>
        <v>0.59090909090909083</v>
      </c>
      <c r="T158" s="12">
        <f t="shared" si="62"/>
        <v>0.59090909090909083</v>
      </c>
      <c r="U158" s="17">
        <f t="shared" si="63"/>
        <v>0.20336605890603088</v>
      </c>
      <c r="V158" s="17">
        <f t="shared" si="64"/>
        <v>8.7657784011220263E-2</v>
      </c>
      <c r="W158" s="17">
        <f t="shared" si="65"/>
        <v>0.41935483870967727</v>
      </c>
      <c r="X158" s="17">
        <f t="shared" si="66"/>
        <v>0.41935483870967727</v>
      </c>
      <c r="Y158" s="18">
        <f>+IFERROR(VLOOKUP(A158,[1]Hoja1!$A:$B,2,0),0)</f>
        <v>31</v>
      </c>
      <c r="Z158" s="18">
        <f>+IFERROR(VLOOKUP(A158,[1]Hoja1!$D:$E,2,0),0)</f>
        <v>1</v>
      </c>
      <c r="AA158" s="18">
        <f t="shared" si="67"/>
        <v>87</v>
      </c>
      <c r="AB158" s="18">
        <f t="shared" si="67"/>
        <v>3</v>
      </c>
      <c r="AC158">
        <f t="shared" si="68"/>
        <v>0</v>
      </c>
      <c r="AD158">
        <f t="shared" si="69"/>
        <v>1</v>
      </c>
      <c r="AE158">
        <f t="shared" si="70"/>
        <v>0</v>
      </c>
      <c r="AF158" s="17">
        <f t="shared" si="81"/>
        <v>0.61445783132530118</v>
      </c>
      <c r="AG158" s="17">
        <f t="shared" si="71"/>
        <v>0.55769230769230771</v>
      </c>
      <c r="AH158" s="18">
        <f t="shared" si="72"/>
        <v>166</v>
      </c>
      <c r="AI158" s="18">
        <f t="shared" si="72"/>
        <v>5</v>
      </c>
      <c r="AJ158">
        <f t="shared" si="73"/>
        <v>0</v>
      </c>
      <c r="AK158">
        <f t="shared" si="74"/>
        <v>1</v>
      </c>
      <c r="AL158">
        <f t="shared" si="75"/>
        <v>0</v>
      </c>
      <c r="AM158" s="17">
        <f t="shared" si="76"/>
        <v>0.60252365930599372</v>
      </c>
      <c r="AN158" s="17">
        <f t="shared" si="77"/>
        <v>0.55892255892255893</v>
      </c>
      <c r="AO158" s="18" t="str">
        <f>+IFERROR(VLOOKUP(A158,[2]Rank!$B:$E,4,0),"No Ganador")</f>
        <v>No Ganador</v>
      </c>
      <c r="AP158" s="18">
        <f>+VLOOKUP(D158,[2]Departamento!$A$1:$B$16,2,0)</f>
        <v>6</v>
      </c>
      <c r="AQ158">
        <f t="shared" si="78"/>
        <v>0</v>
      </c>
    </row>
    <row r="159" spans="1:43" x14ac:dyDescent="0.3">
      <c r="A159" t="s">
        <v>382</v>
      </c>
      <c r="B159" t="s">
        <v>383</v>
      </c>
      <c r="C159" t="s">
        <v>43</v>
      </c>
      <c r="D159" t="s">
        <v>182</v>
      </c>
      <c r="E159" s="10" t="s">
        <v>183</v>
      </c>
      <c r="F159" s="10" t="s">
        <v>51</v>
      </c>
      <c r="G159" s="11">
        <v>165</v>
      </c>
      <c r="H159" s="12">
        <v>188</v>
      </c>
      <c r="I159" s="12">
        <f t="shared" si="56"/>
        <v>188</v>
      </c>
      <c r="J159" s="13">
        <f t="shared" si="79"/>
        <v>226</v>
      </c>
      <c r="K159" s="14">
        <f t="shared" si="57"/>
        <v>204</v>
      </c>
      <c r="L159" s="15">
        <v>12</v>
      </c>
      <c r="M159" s="12">
        <v>8</v>
      </c>
      <c r="N159" s="12">
        <f t="shared" si="58"/>
        <v>12</v>
      </c>
      <c r="O159" s="13">
        <v>14</v>
      </c>
      <c r="P159" s="16">
        <f t="shared" si="80"/>
        <v>13</v>
      </c>
      <c r="Q159" s="15">
        <f t="shared" si="59"/>
        <v>38</v>
      </c>
      <c r="R159" s="12">
        <f t="shared" si="60"/>
        <v>16</v>
      </c>
      <c r="S159" s="12">
        <f t="shared" si="61"/>
        <v>6</v>
      </c>
      <c r="T159" s="12">
        <f t="shared" si="62"/>
        <v>5</v>
      </c>
      <c r="U159" s="17">
        <f t="shared" si="63"/>
        <v>0.2021276595744681</v>
      </c>
      <c r="V159" s="17">
        <f t="shared" si="64"/>
        <v>8.5106382978723305E-2</v>
      </c>
      <c r="W159" s="17">
        <f t="shared" si="65"/>
        <v>0.75</v>
      </c>
      <c r="X159" s="17">
        <f t="shared" si="66"/>
        <v>0.625</v>
      </c>
      <c r="Y159" s="18">
        <f>+IFERROR(VLOOKUP(A159,[1]Hoja1!$A:$B,2,0),0)</f>
        <v>53</v>
      </c>
      <c r="Z159" s="18">
        <f>+IFERROR(VLOOKUP(A159,[1]Hoja1!$D:$E,2,0),0)</f>
        <v>4</v>
      </c>
      <c r="AA159" s="18">
        <f t="shared" si="67"/>
        <v>149</v>
      </c>
      <c r="AB159" s="18">
        <f t="shared" si="67"/>
        <v>11</v>
      </c>
      <c r="AC159">
        <f t="shared" si="68"/>
        <v>0</v>
      </c>
      <c r="AD159">
        <f t="shared" si="69"/>
        <v>0</v>
      </c>
      <c r="AE159">
        <f t="shared" si="70"/>
        <v>0</v>
      </c>
      <c r="AF159" s="17">
        <f t="shared" si="81"/>
        <v>0.68918918918918914</v>
      </c>
      <c r="AG159" s="17">
        <f t="shared" si="71"/>
        <v>0.65929203539823011</v>
      </c>
      <c r="AH159" s="18">
        <f t="shared" si="72"/>
        <v>284</v>
      </c>
      <c r="AI159" s="18">
        <f t="shared" si="72"/>
        <v>21</v>
      </c>
      <c r="AJ159">
        <f t="shared" si="73"/>
        <v>0</v>
      </c>
      <c r="AK159">
        <f t="shared" si="74"/>
        <v>0</v>
      </c>
      <c r="AL159">
        <f t="shared" si="75"/>
        <v>0</v>
      </c>
      <c r="AM159" s="17">
        <f t="shared" si="76"/>
        <v>0.68849557522123894</v>
      </c>
      <c r="AN159" s="17">
        <f t="shared" si="77"/>
        <v>0.66046511627906979</v>
      </c>
      <c r="AO159" s="18" t="str">
        <f>+IFERROR(VLOOKUP(A159,[2]Rank!$B:$E,4,0),"No Ganador")</f>
        <v>No Ganador</v>
      </c>
      <c r="AP159" s="18">
        <f>+VLOOKUP(D159,[2]Departamento!$A$1:$B$16,2,0)</f>
        <v>1</v>
      </c>
      <c r="AQ159">
        <f t="shared" si="78"/>
        <v>0</v>
      </c>
    </row>
    <row r="160" spans="1:43" x14ac:dyDescent="0.3">
      <c r="A160" t="s">
        <v>384</v>
      </c>
      <c r="B160" t="s">
        <v>385</v>
      </c>
      <c r="C160" t="s">
        <v>43</v>
      </c>
      <c r="D160" t="s">
        <v>99</v>
      </c>
      <c r="E160" s="10" t="s">
        <v>57</v>
      </c>
      <c r="F160" s="10" t="s">
        <v>46</v>
      </c>
      <c r="G160" s="11">
        <v>200</v>
      </c>
      <c r="H160" s="12">
        <v>245.18181818181819</v>
      </c>
      <c r="I160" s="12">
        <f t="shared" si="56"/>
        <v>245.18181818181819</v>
      </c>
      <c r="J160" s="13">
        <f t="shared" si="79"/>
        <v>294</v>
      </c>
      <c r="K160" s="14">
        <f t="shared" si="57"/>
        <v>266</v>
      </c>
      <c r="L160" s="15">
        <v>11</v>
      </c>
      <c r="M160" s="12">
        <v>5.6363636363636367</v>
      </c>
      <c r="N160" s="12">
        <f t="shared" si="58"/>
        <v>11</v>
      </c>
      <c r="O160" s="13">
        <v>13</v>
      </c>
      <c r="P160" s="16">
        <f t="shared" si="80"/>
        <v>12</v>
      </c>
      <c r="Q160" s="15">
        <f t="shared" si="59"/>
        <v>48.818181818181813</v>
      </c>
      <c r="R160" s="12">
        <f t="shared" si="60"/>
        <v>20.818181818181813</v>
      </c>
      <c r="S160" s="12">
        <f t="shared" si="61"/>
        <v>7.3636363636363633</v>
      </c>
      <c r="T160" s="12">
        <f t="shared" si="62"/>
        <v>6.3636363636363633</v>
      </c>
      <c r="U160" s="17">
        <f t="shared" si="63"/>
        <v>0.19911012235817571</v>
      </c>
      <c r="V160" s="17">
        <f t="shared" si="64"/>
        <v>8.490915832406376E-2</v>
      </c>
      <c r="W160" s="17">
        <f t="shared" si="65"/>
        <v>1.3064516129032255</v>
      </c>
      <c r="X160" s="17">
        <f t="shared" si="66"/>
        <v>1.129032258064516</v>
      </c>
      <c r="Y160" s="18">
        <f>+IFERROR(VLOOKUP(A160,[1]Hoja1!$A:$B,2,0),0)</f>
        <v>84</v>
      </c>
      <c r="Z160" s="18">
        <f>+IFERROR(VLOOKUP(A160,[1]Hoja1!$D:$E,2,0),0)</f>
        <v>8</v>
      </c>
      <c r="AA160" s="18">
        <f t="shared" si="67"/>
        <v>237</v>
      </c>
      <c r="AB160" s="18">
        <f t="shared" si="67"/>
        <v>23</v>
      </c>
      <c r="AC160">
        <f t="shared" si="68"/>
        <v>0</v>
      </c>
      <c r="AD160">
        <f t="shared" si="69"/>
        <v>1</v>
      </c>
      <c r="AE160">
        <f t="shared" si="70"/>
        <v>0</v>
      </c>
      <c r="AF160" s="17">
        <f t="shared" si="81"/>
        <v>0.98050139275766013</v>
      </c>
      <c r="AG160" s="17">
        <f t="shared" si="71"/>
        <v>0.80612244897959184</v>
      </c>
      <c r="AH160" s="18">
        <f t="shared" si="72"/>
        <v>451</v>
      </c>
      <c r="AI160" s="18">
        <f t="shared" si="72"/>
        <v>43</v>
      </c>
      <c r="AJ160">
        <f t="shared" si="73"/>
        <v>0</v>
      </c>
      <c r="AK160">
        <f t="shared" si="74"/>
        <v>1</v>
      </c>
      <c r="AL160">
        <f t="shared" si="75"/>
        <v>0</v>
      </c>
      <c r="AM160" s="17">
        <f t="shared" si="76"/>
        <v>0.9722627737226277</v>
      </c>
      <c r="AN160" s="17">
        <f t="shared" si="77"/>
        <v>0.80535714285714288</v>
      </c>
      <c r="AO160" s="18" t="str">
        <f>+IFERROR(VLOOKUP(A160,[2]Rank!$B:$E,4,0),"No Ganador")</f>
        <v>No Ganador</v>
      </c>
      <c r="AP160" s="18">
        <f>+VLOOKUP(D160,[2]Departamento!$A$1:$B$16,2,0)</f>
        <v>2</v>
      </c>
      <c r="AQ160">
        <f t="shared" si="78"/>
        <v>0</v>
      </c>
    </row>
    <row r="161" spans="1:43" x14ac:dyDescent="0.3">
      <c r="A161" t="s">
        <v>386</v>
      </c>
      <c r="B161" t="s">
        <v>387</v>
      </c>
      <c r="C161" t="s">
        <v>43</v>
      </c>
      <c r="D161" t="s">
        <v>78</v>
      </c>
      <c r="E161" s="10" t="s">
        <v>50</v>
      </c>
      <c r="F161" s="10" t="s">
        <v>51</v>
      </c>
      <c r="G161" s="11">
        <v>127</v>
      </c>
      <c r="H161" s="12">
        <v>171.90909090909093</v>
      </c>
      <c r="I161" s="12">
        <f t="shared" si="56"/>
        <v>171.90909090909093</v>
      </c>
      <c r="J161" s="13">
        <f t="shared" si="79"/>
        <v>206</v>
      </c>
      <c r="K161" s="14">
        <f t="shared" si="57"/>
        <v>186</v>
      </c>
      <c r="L161" s="15">
        <v>9</v>
      </c>
      <c r="M161" s="12">
        <v>11.272727272727273</v>
      </c>
      <c r="N161" s="12">
        <f t="shared" si="58"/>
        <v>11.272727272727273</v>
      </c>
      <c r="O161" s="13">
        <v>14</v>
      </c>
      <c r="P161" s="16">
        <f t="shared" si="80"/>
        <v>13</v>
      </c>
      <c r="Q161" s="15">
        <f t="shared" si="59"/>
        <v>34.090909090909065</v>
      </c>
      <c r="R161" s="12">
        <f t="shared" si="60"/>
        <v>14.090909090909065</v>
      </c>
      <c r="S161" s="12">
        <f t="shared" si="61"/>
        <v>2.7272727272727266</v>
      </c>
      <c r="T161" s="12">
        <f t="shared" si="62"/>
        <v>1.7272727272727266</v>
      </c>
      <c r="U161" s="17">
        <f t="shared" si="63"/>
        <v>0.1983077736647274</v>
      </c>
      <c r="V161" s="17">
        <f t="shared" si="64"/>
        <v>8.1967213114753967E-2</v>
      </c>
      <c r="W161" s="17">
        <f t="shared" si="65"/>
        <v>0.24193548387096775</v>
      </c>
      <c r="X161" s="17">
        <f t="shared" si="66"/>
        <v>0.15322580645161277</v>
      </c>
      <c r="Y161" s="18">
        <f>+IFERROR(VLOOKUP(A161,[1]Hoja1!$A:$B,2,0),0)</f>
        <v>21</v>
      </c>
      <c r="Z161" s="18">
        <f>+IFERROR(VLOOKUP(A161,[1]Hoja1!$D:$E,2,0),0)</f>
        <v>1</v>
      </c>
      <c r="AA161" s="18">
        <f t="shared" si="67"/>
        <v>59</v>
      </c>
      <c r="AB161" s="18">
        <f t="shared" si="67"/>
        <v>3</v>
      </c>
      <c r="AC161">
        <f t="shared" si="68"/>
        <v>0</v>
      </c>
      <c r="AD161">
        <f t="shared" si="69"/>
        <v>0</v>
      </c>
      <c r="AE161">
        <f t="shared" si="70"/>
        <v>0</v>
      </c>
      <c r="AF161" s="17">
        <f t="shared" si="81"/>
        <v>0.26811594202898553</v>
      </c>
      <c r="AG161" s="17">
        <f t="shared" si="71"/>
        <v>0.28640776699029125</v>
      </c>
      <c r="AH161" s="18">
        <f t="shared" si="72"/>
        <v>113</v>
      </c>
      <c r="AI161" s="18">
        <f t="shared" si="72"/>
        <v>5</v>
      </c>
      <c r="AJ161">
        <f t="shared" si="73"/>
        <v>0</v>
      </c>
      <c r="AK161">
        <f t="shared" si="74"/>
        <v>0</v>
      </c>
      <c r="AL161">
        <f t="shared" si="75"/>
        <v>0</v>
      </c>
      <c r="AM161" s="17">
        <f t="shared" si="76"/>
        <v>0.26185958254269448</v>
      </c>
      <c r="AN161" s="17">
        <f t="shared" si="77"/>
        <v>0.28826530612244899</v>
      </c>
      <c r="AO161" s="18" t="str">
        <f>+IFERROR(VLOOKUP(A161,[2]Rank!$B:$E,4,0),"No Ganador")</f>
        <v>No Ganador</v>
      </c>
      <c r="AP161" s="18">
        <f>+VLOOKUP(D161,[2]Departamento!$A$1:$B$16,2,0)</f>
        <v>1</v>
      </c>
      <c r="AQ161">
        <f t="shared" si="78"/>
        <v>0</v>
      </c>
    </row>
    <row r="162" spans="1:43" x14ac:dyDescent="0.3">
      <c r="A162" t="s">
        <v>388</v>
      </c>
      <c r="B162" t="s">
        <v>389</v>
      </c>
      <c r="C162" t="s">
        <v>43</v>
      </c>
      <c r="D162" t="s">
        <v>44</v>
      </c>
      <c r="E162" s="10" t="s">
        <v>45</v>
      </c>
      <c r="F162" s="10" t="s">
        <v>63</v>
      </c>
      <c r="G162" s="11">
        <v>187</v>
      </c>
      <c r="H162" s="12">
        <v>236.72727272727275</v>
      </c>
      <c r="I162" s="12">
        <f t="shared" si="56"/>
        <v>236.72727272727275</v>
      </c>
      <c r="J162" s="13">
        <f t="shared" si="79"/>
        <v>284</v>
      </c>
      <c r="K162" s="14">
        <f t="shared" si="57"/>
        <v>257</v>
      </c>
      <c r="L162" s="15">
        <v>11</v>
      </c>
      <c r="M162" s="12">
        <v>12.681818181818183</v>
      </c>
      <c r="N162" s="12">
        <f t="shared" si="58"/>
        <v>12.681818181818183</v>
      </c>
      <c r="O162" s="13">
        <v>15</v>
      </c>
      <c r="P162" s="16">
        <f t="shared" si="80"/>
        <v>14</v>
      </c>
      <c r="Q162" s="15">
        <f t="shared" si="59"/>
        <v>47.272727272727252</v>
      </c>
      <c r="R162" s="12">
        <f t="shared" si="60"/>
        <v>20.272727272727252</v>
      </c>
      <c r="S162" s="12">
        <f t="shared" si="61"/>
        <v>2.3181818181818166</v>
      </c>
      <c r="T162" s="12">
        <f t="shared" si="62"/>
        <v>1.3181818181818166</v>
      </c>
      <c r="U162" s="17">
        <f t="shared" si="63"/>
        <v>0.19969278033794158</v>
      </c>
      <c r="V162" s="17">
        <f t="shared" si="64"/>
        <v>8.5637480798770982E-2</v>
      </c>
      <c r="W162" s="17">
        <f t="shared" si="65"/>
        <v>0.18279569892473102</v>
      </c>
      <c r="X162" s="17">
        <f t="shared" si="66"/>
        <v>0.10394265232974886</v>
      </c>
      <c r="Y162" s="18">
        <f>+IFERROR(VLOOKUP(A162,[1]Hoja1!$A:$B,2,0),0)</f>
        <v>64</v>
      </c>
      <c r="Z162" s="18">
        <f>+IFERROR(VLOOKUP(A162,[1]Hoja1!$D:$E,2,0),0)</f>
        <v>3</v>
      </c>
      <c r="AA162" s="18">
        <f t="shared" si="67"/>
        <v>180</v>
      </c>
      <c r="AB162" s="18">
        <f t="shared" si="67"/>
        <v>8</v>
      </c>
      <c r="AC162">
        <f t="shared" si="68"/>
        <v>0</v>
      </c>
      <c r="AD162">
        <f t="shared" si="69"/>
        <v>0</v>
      </c>
      <c r="AE162">
        <f t="shared" si="70"/>
        <v>0</v>
      </c>
      <c r="AF162" s="17">
        <f t="shared" si="81"/>
        <v>0.61281337047353757</v>
      </c>
      <c r="AG162" s="17">
        <f t="shared" si="71"/>
        <v>0.63380281690140849</v>
      </c>
      <c r="AH162" s="18">
        <f t="shared" si="72"/>
        <v>343</v>
      </c>
      <c r="AI162" s="18">
        <f t="shared" si="72"/>
        <v>16</v>
      </c>
      <c r="AJ162">
        <f t="shared" si="73"/>
        <v>0</v>
      </c>
      <c r="AK162">
        <f t="shared" si="74"/>
        <v>0</v>
      </c>
      <c r="AL162">
        <f t="shared" si="75"/>
        <v>0</v>
      </c>
      <c r="AM162" s="17">
        <f t="shared" si="76"/>
        <v>0.61661807580174932</v>
      </c>
      <c r="AN162" s="17">
        <f t="shared" si="77"/>
        <v>0.63401109057301297</v>
      </c>
      <c r="AO162" s="18" t="str">
        <f>+IFERROR(VLOOKUP(A162,[2]Rank!$B:$E,4,0),"No Ganador")</f>
        <v>No Ganador</v>
      </c>
      <c r="AP162" s="18">
        <f>+VLOOKUP(D162,[2]Departamento!$A$1:$B$16,2,0)</f>
        <v>6</v>
      </c>
      <c r="AQ162">
        <f t="shared" si="78"/>
        <v>0</v>
      </c>
    </row>
    <row r="163" spans="1:43" x14ac:dyDescent="0.3">
      <c r="A163" t="s">
        <v>390</v>
      </c>
      <c r="B163" t="s">
        <v>391</v>
      </c>
      <c r="C163" t="s">
        <v>43</v>
      </c>
      <c r="D163" t="s">
        <v>74</v>
      </c>
      <c r="E163" s="10" t="s">
        <v>57</v>
      </c>
      <c r="F163" s="10" t="s">
        <v>75</v>
      </c>
      <c r="G163" s="11">
        <v>129</v>
      </c>
      <c r="H163" s="12">
        <v>184.59090909090907</v>
      </c>
      <c r="I163" s="12">
        <f t="shared" si="56"/>
        <v>184.59090909090907</v>
      </c>
      <c r="J163" s="13">
        <f t="shared" si="79"/>
        <v>222</v>
      </c>
      <c r="K163" s="14">
        <f t="shared" si="57"/>
        <v>201</v>
      </c>
      <c r="L163" s="15">
        <v>9</v>
      </c>
      <c r="M163" s="12">
        <v>21.136363636363633</v>
      </c>
      <c r="N163" s="12">
        <f t="shared" si="58"/>
        <v>21.136363636363633</v>
      </c>
      <c r="O163" s="13">
        <v>25</v>
      </c>
      <c r="P163" s="16">
        <f t="shared" si="80"/>
        <v>23</v>
      </c>
      <c r="Q163" s="15">
        <f t="shared" si="59"/>
        <v>37.409090909090935</v>
      </c>
      <c r="R163" s="12">
        <f t="shared" si="60"/>
        <v>16.409090909090935</v>
      </c>
      <c r="S163" s="12">
        <f t="shared" si="61"/>
        <v>3.8636363636363669</v>
      </c>
      <c r="T163" s="12">
        <f t="shared" si="62"/>
        <v>1.8636363636363669</v>
      </c>
      <c r="U163" s="17">
        <f t="shared" si="63"/>
        <v>0.20265944348682607</v>
      </c>
      <c r="V163" s="17">
        <f t="shared" si="64"/>
        <v>8.8894360994828947E-2</v>
      </c>
      <c r="W163" s="17">
        <f t="shared" si="65"/>
        <v>0.18279569892473146</v>
      </c>
      <c r="X163" s="17">
        <f t="shared" si="66"/>
        <v>8.8172043010752876E-2</v>
      </c>
      <c r="Y163" s="18">
        <f>+IFERROR(VLOOKUP(A163,[1]Hoja1!$A:$B,2,0),0)</f>
        <v>71</v>
      </c>
      <c r="Z163" s="18">
        <f>+IFERROR(VLOOKUP(A163,[1]Hoja1!$D:$E,2,0),0)</f>
        <v>8</v>
      </c>
      <c r="AA163" s="18">
        <f t="shared" si="67"/>
        <v>200</v>
      </c>
      <c r="AB163" s="18">
        <f t="shared" si="67"/>
        <v>23</v>
      </c>
      <c r="AC163">
        <f t="shared" si="68"/>
        <v>0</v>
      </c>
      <c r="AD163">
        <f t="shared" si="69"/>
        <v>0</v>
      </c>
      <c r="AE163">
        <f t="shared" si="70"/>
        <v>0</v>
      </c>
      <c r="AF163" s="17">
        <f t="shared" si="81"/>
        <v>0.90778097982708938</v>
      </c>
      <c r="AG163" s="17">
        <f t="shared" si="71"/>
        <v>0.90090090090090091</v>
      </c>
      <c r="AH163" s="18">
        <f t="shared" si="72"/>
        <v>381</v>
      </c>
      <c r="AI163" s="18">
        <f t="shared" si="72"/>
        <v>43</v>
      </c>
      <c r="AJ163">
        <f t="shared" si="73"/>
        <v>0</v>
      </c>
      <c r="AK163">
        <f t="shared" si="74"/>
        <v>0</v>
      </c>
      <c r="AL163">
        <f t="shared" si="75"/>
        <v>0</v>
      </c>
      <c r="AM163" s="17">
        <f t="shared" si="76"/>
        <v>0.89894419306184015</v>
      </c>
      <c r="AN163" s="17">
        <f t="shared" si="77"/>
        <v>0.900709219858156</v>
      </c>
      <c r="AO163" s="18" t="str">
        <f>+IFERROR(VLOOKUP(A163,[2]Rank!$B:$E,4,0),"No Ganador")</f>
        <v>No Ganador</v>
      </c>
      <c r="AP163" s="18">
        <f>+VLOOKUP(D163,[2]Departamento!$A$1:$B$16,2,0)</f>
        <v>2</v>
      </c>
      <c r="AQ163">
        <f t="shared" si="78"/>
        <v>0</v>
      </c>
    </row>
    <row r="164" spans="1:43" x14ac:dyDescent="0.3">
      <c r="A164" t="s">
        <v>392</v>
      </c>
      <c r="B164" t="s">
        <v>393</v>
      </c>
      <c r="C164" t="s">
        <v>43</v>
      </c>
      <c r="D164" t="s">
        <v>130</v>
      </c>
      <c r="E164" s="10" t="s">
        <v>57</v>
      </c>
      <c r="F164" s="10" t="s">
        <v>58</v>
      </c>
      <c r="G164" s="11">
        <v>197</v>
      </c>
      <c r="H164" s="12">
        <v>253.63636363636363</v>
      </c>
      <c r="I164" s="12">
        <f t="shared" si="56"/>
        <v>253.63636363636363</v>
      </c>
      <c r="J164" s="13">
        <f t="shared" si="79"/>
        <v>304</v>
      </c>
      <c r="K164" s="14">
        <f t="shared" si="57"/>
        <v>275</v>
      </c>
      <c r="L164" s="15">
        <v>4</v>
      </c>
      <c r="M164" s="12">
        <v>16.909090909090907</v>
      </c>
      <c r="N164" s="12">
        <f t="shared" si="58"/>
        <v>16.909090909090907</v>
      </c>
      <c r="O164" s="13">
        <v>20</v>
      </c>
      <c r="P164" s="16">
        <f t="shared" si="80"/>
        <v>18</v>
      </c>
      <c r="Q164" s="15">
        <f t="shared" si="59"/>
        <v>50.363636363636374</v>
      </c>
      <c r="R164" s="12">
        <f t="shared" si="60"/>
        <v>21.363636363636374</v>
      </c>
      <c r="S164" s="12">
        <f t="shared" si="61"/>
        <v>3.0909090909090935</v>
      </c>
      <c r="T164" s="12">
        <f t="shared" si="62"/>
        <v>1.0909090909090935</v>
      </c>
      <c r="U164" s="17">
        <f t="shared" si="63"/>
        <v>0.19856630824372767</v>
      </c>
      <c r="V164" s="17">
        <f t="shared" si="64"/>
        <v>8.4229390681003657E-2</v>
      </c>
      <c r="W164" s="17">
        <f t="shared" si="65"/>
        <v>0.18279569892473146</v>
      </c>
      <c r="X164" s="17">
        <f t="shared" si="66"/>
        <v>6.4516129032258229E-2</v>
      </c>
      <c r="Y164" s="18">
        <f>+IFERROR(VLOOKUP(A164,[1]Hoja1!$A:$B,2,0),0)</f>
        <v>54</v>
      </c>
      <c r="Z164" s="18">
        <f>+IFERROR(VLOOKUP(A164,[1]Hoja1!$D:$E,2,0),0)</f>
        <v>4</v>
      </c>
      <c r="AA164" s="18">
        <f t="shared" si="67"/>
        <v>152</v>
      </c>
      <c r="AB164" s="18">
        <f t="shared" si="67"/>
        <v>11</v>
      </c>
      <c r="AC164">
        <f t="shared" si="68"/>
        <v>0</v>
      </c>
      <c r="AD164">
        <f t="shared" si="69"/>
        <v>0</v>
      </c>
      <c r="AE164">
        <f t="shared" si="70"/>
        <v>0</v>
      </c>
      <c r="AF164" s="17">
        <f t="shared" si="81"/>
        <v>0.51237623762376239</v>
      </c>
      <c r="AG164" s="17">
        <f t="shared" si="71"/>
        <v>0.5</v>
      </c>
      <c r="AH164" s="18">
        <f t="shared" si="72"/>
        <v>290</v>
      </c>
      <c r="AI164" s="18">
        <f t="shared" si="72"/>
        <v>21</v>
      </c>
      <c r="AJ164">
        <f t="shared" si="73"/>
        <v>0</v>
      </c>
      <c r="AK164">
        <f t="shared" si="74"/>
        <v>0</v>
      </c>
      <c r="AL164">
        <f t="shared" si="75"/>
        <v>0</v>
      </c>
      <c r="AM164" s="17">
        <f t="shared" si="76"/>
        <v>0.51365409622886871</v>
      </c>
      <c r="AN164" s="17">
        <f t="shared" si="77"/>
        <v>0.50086355785837655</v>
      </c>
      <c r="AO164" s="18" t="str">
        <f>+IFERROR(VLOOKUP(A164,[2]Rank!$B:$E,4,0),"No Ganador")</f>
        <v>No Ganador</v>
      </c>
      <c r="AP164" s="18">
        <f>+VLOOKUP(D164,[2]Departamento!$A$1:$B$16,2,0)</f>
        <v>1</v>
      </c>
      <c r="AQ164">
        <f t="shared" si="78"/>
        <v>0</v>
      </c>
    </row>
    <row r="165" spans="1:43" x14ac:dyDescent="0.3">
      <c r="A165" t="s">
        <v>394</v>
      </c>
      <c r="B165" t="s">
        <v>395</v>
      </c>
      <c r="C165" t="s">
        <v>43</v>
      </c>
      <c r="D165" t="s">
        <v>44</v>
      </c>
      <c r="E165" s="10" t="s">
        <v>45</v>
      </c>
      <c r="F165" s="10" t="s">
        <v>63</v>
      </c>
      <c r="G165" s="11">
        <v>102</v>
      </c>
      <c r="H165" s="12">
        <v>152.18181818181819</v>
      </c>
      <c r="I165" s="12">
        <f t="shared" si="56"/>
        <v>152.18181818181819</v>
      </c>
      <c r="J165" s="13">
        <f t="shared" si="79"/>
        <v>183</v>
      </c>
      <c r="K165" s="14">
        <f t="shared" si="57"/>
        <v>165</v>
      </c>
      <c r="L165" s="15">
        <v>0</v>
      </c>
      <c r="M165" s="12">
        <v>0</v>
      </c>
      <c r="N165" s="12">
        <f t="shared" si="58"/>
        <v>0</v>
      </c>
      <c r="O165" s="13">
        <v>1</v>
      </c>
      <c r="P165" s="16">
        <f t="shared" si="80"/>
        <v>1</v>
      </c>
      <c r="Q165" s="15">
        <f t="shared" si="59"/>
        <v>30.818181818181813</v>
      </c>
      <c r="R165" s="12">
        <f t="shared" si="60"/>
        <v>12.818181818181813</v>
      </c>
      <c r="S165" s="12">
        <f t="shared" si="61"/>
        <v>1</v>
      </c>
      <c r="T165" s="12">
        <f t="shared" si="62"/>
        <v>1</v>
      </c>
      <c r="U165" s="17">
        <f t="shared" si="63"/>
        <v>0.20250896057347667</v>
      </c>
      <c r="V165" s="17">
        <f t="shared" si="64"/>
        <v>8.4229390681003657E-2</v>
      </c>
      <c r="W165" s="17" t="str">
        <f t="shared" si="65"/>
        <v>-</v>
      </c>
      <c r="X165" s="17">
        <f t="shared" si="66"/>
        <v>0</v>
      </c>
      <c r="Y165" s="18">
        <f>+IFERROR(VLOOKUP(A165,[1]Hoja1!$A:$B,2,0),0)</f>
        <v>33</v>
      </c>
      <c r="Z165" s="18">
        <f>+IFERROR(VLOOKUP(A165,[1]Hoja1!$D:$E,2,0),0)</f>
        <v>2</v>
      </c>
      <c r="AA165" s="18">
        <f t="shared" si="67"/>
        <v>93</v>
      </c>
      <c r="AB165" s="18">
        <f t="shared" si="67"/>
        <v>6</v>
      </c>
      <c r="AC165">
        <f t="shared" si="68"/>
        <v>0</v>
      </c>
      <c r="AD165">
        <f t="shared" si="69"/>
        <v>1</v>
      </c>
      <c r="AE165">
        <f t="shared" si="70"/>
        <v>0</v>
      </c>
      <c r="AF165" s="17">
        <f t="shared" si="81"/>
        <v>0.6542553191489362</v>
      </c>
      <c r="AG165" s="17">
        <f t="shared" si="71"/>
        <v>0.50819672131147542</v>
      </c>
      <c r="AH165" s="18">
        <f t="shared" si="72"/>
        <v>177</v>
      </c>
      <c r="AI165" s="18">
        <f t="shared" si="72"/>
        <v>11</v>
      </c>
      <c r="AJ165">
        <f t="shared" si="73"/>
        <v>0</v>
      </c>
      <c r="AK165">
        <f t="shared" si="74"/>
        <v>1</v>
      </c>
      <c r="AL165">
        <f t="shared" si="75"/>
        <v>0</v>
      </c>
      <c r="AM165" s="17">
        <f t="shared" si="76"/>
        <v>0.64804469273743015</v>
      </c>
      <c r="AN165" s="17">
        <f t="shared" si="77"/>
        <v>0.50862068965517238</v>
      </c>
      <c r="AO165" s="18" t="str">
        <f>+IFERROR(VLOOKUP(A165,[2]Rank!$B:$E,4,0),"No Ganador")</f>
        <v>No Ganador</v>
      </c>
      <c r="AP165" s="18">
        <f>+VLOOKUP(D165,[2]Departamento!$A$1:$B$16,2,0)</f>
        <v>6</v>
      </c>
      <c r="AQ165">
        <f t="shared" si="78"/>
        <v>0</v>
      </c>
    </row>
    <row r="166" spans="1:43" x14ac:dyDescent="0.3">
      <c r="A166" t="s">
        <v>396</v>
      </c>
      <c r="B166" t="s">
        <v>397</v>
      </c>
      <c r="C166" t="s">
        <v>43</v>
      </c>
      <c r="D166" t="s">
        <v>119</v>
      </c>
      <c r="E166" s="10" t="s">
        <v>69</v>
      </c>
      <c r="F166" s="10" t="s">
        <v>114</v>
      </c>
      <c r="G166" s="11">
        <v>101</v>
      </c>
      <c r="H166" s="12">
        <v>153.59090909090907</v>
      </c>
      <c r="I166" s="12">
        <f t="shared" si="56"/>
        <v>153.59090909090907</v>
      </c>
      <c r="J166" s="13">
        <f t="shared" si="79"/>
        <v>184</v>
      </c>
      <c r="K166" s="14">
        <f t="shared" si="57"/>
        <v>166</v>
      </c>
      <c r="L166" s="15">
        <v>7</v>
      </c>
      <c r="M166" s="12">
        <v>7.045454545454545</v>
      </c>
      <c r="N166" s="12">
        <f t="shared" si="58"/>
        <v>7.045454545454545</v>
      </c>
      <c r="O166" s="13">
        <v>8</v>
      </c>
      <c r="P166" s="16">
        <f t="shared" si="80"/>
        <v>7</v>
      </c>
      <c r="Q166" s="15">
        <f t="shared" si="59"/>
        <v>30.409090909090935</v>
      </c>
      <c r="R166" s="12">
        <f t="shared" si="60"/>
        <v>12.409090909090935</v>
      </c>
      <c r="S166" s="12">
        <f t="shared" si="61"/>
        <v>0.95454545454545503</v>
      </c>
      <c r="T166" s="12">
        <f t="shared" si="62"/>
        <v>-4.545454545454497E-2</v>
      </c>
      <c r="U166" s="17">
        <f t="shared" si="63"/>
        <v>0.19798757028706748</v>
      </c>
      <c r="V166" s="17">
        <f t="shared" si="64"/>
        <v>8.079313406333255E-2</v>
      </c>
      <c r="W166" s="17">
        <f t="shared" si="65"/>
        <v>0.13548387096774195</v>
      </c>
      <c r="X166" s="17">
        <f t="shared" si="66"/>
        <v>-6.4516129032257119E-3</v>
      </c>
      <c r="Y166" s="18">
        <f>+IFERROR(VLOOKUP(A166,[1]Hoja1!$A:$B,2,0),0)</f>
        <v>86</v>
      </c>
      <c r="Z166" s="18">
        <f>+IFERROR(VLOOKUP(A166,[1]Hoja1!$D:$E,2,0),0)</f>
        <v>4</v>
      </c>
      <c r="AA166" s="18">
        <f t="shared" si="67"/>
        <v>242</v>
      </c>
      <c r="AB166" s="18">
        <f t="shared" si="67"/>
        <v>11</v>
      </c>
      <c r="AC166">
        <f t="shared" si="68"/>
        <v>1</v>
      </c>
      <c r="AD166">
        <f t="shared" si="69"/>
        <v>1</v>
      </c>
      <c r="AE166">
        <f t="shared" si="70"/>
        <v>1</v>
      </c>
      <c r="AF166" s="17">
        <f t="shared" si="81"/>
        <v>1.3258928571428572</v>
      </c>
      <c r="AG166" s="17">
        <f t="shared" si="71"/>
        <v>1.3152173913043479</v>
      </c>
      <c r="AH166" s="18">
        <f t="shared" si="72"/>
        <v>461</v>
      </c>
      <c r="AI166" s="18">
        <f t="shared" si="72"/>
        <v>21</v>
      </c>
      <c r="AJ166">
        <f t="shared" si="73"/>
        <v>1</v>
      </c>
      <c r="AK166">
        <f t="shared" si="74"/>
        <v>1</v>
      </c>
      <c r="AL166">
        <f t="shared" si="75"/>
        <v>1</v>
      </c>
      <c r="AM166" s="17">
        <f t="shared" si="76"/>
        <v>1.331764705882353</v>
      </c>
      <c r="AN166" s="17">
        <f t="shared" si="77"/>
        <v>1.3171428571428572</v>
      </c>
      <c r="AO166" s="18">
        <f>+IFERROR(VLOOKUP(A166,[2]Rank!$B:$E,4,0),"No Ganador")</f>
        <v>2</v>
      </c>
      <c r="AP166" s="18">
        <f>+VLOOKUP(D166,[2]Departamento!$A$1:$B$16,2,0)</f>
        <v>2</v>
      </c>
      <c r="AQ166">
        <f t="shared" si="78"/>
        <v>1</v>
      </c>
    </row>
    <row r="167" spans="1:43" x14ac:dyDescent="0.3">
      <c r="A167" t="s">
        <v>398</v>
      </c>
      <c r="B167" t="s">
        <v>399</v>
      </c>
      <c r="C167" t="s">
        <v>43</v>
      </c>
      <c r="D167" t="s">
        <v>56</v>
      </c>
      <c r="E167" s="10" t="s">
        <v>57</v>
      </c>
      <c r="F167" s="10" t="s">
        <v>58</v>
      </c>
      <c r="G167" s="11">
        <v>94</v>
      </c>
      <c r="H167" s="12">
        <v>146.54545454545456</v>
      </c>
      <c r="I167" s="12">
        <f t="shared" si="56"/>
        <v>146.54545454545456</v>
      </c>
      <c r="J167" s="13">
        <f t="shared" si="79"/>
        <v>176</v>
      </c>
      <c r="K167" s="14">
        <f t="shared" si="57"/>
        <v>159</v>
      </c>
      <c r="L167" s="15">
        <v>3</v>
      </c>
      <c r="M167" s="12">
        <v>5.6363636363636367</v>
      </c>
      <c r="N167" s="12">
        <f t="shared" si="58"/>
        <v>5.6363636363636367</v>
      </c>
      <c r="O167" s="13">
        <v>7</v>
      </c>
      <c r="P167" s="16">
        <f t="shared" si="80"/>
        <v>6</v>
      </c>
      <c r="Q167" s="15">
        <f t="shared" si="59"/>
        <v>29.454545454545439</v>
      </c>
      <c r="R167" s="12">
        <f t="shared" si="60"/>
        <v>12.454545454545439</v>
      </c>
      <c r="S167" s="12">
        <f t="shared" si="61"/>
        <v>1.3636363636363633</v>
      </c>
      <c r="T167" s="12">
        <f t="shared" si="62"/>
        <v>0.36363636363636331</v>
      </c>
      <c r="U167" s="17">
        <f t="shared" si="63"/>
        <v>0.2009925558312653</v>
      </c>
      <c r="V167" s="17">
        <f t="shared" si="64"/>
        <v>8.4987593052109123E-2</v>
      </c>
      <c r="W167" s="17">
        <f t="shared" si="65"/>
        <v>0.24193548387096775</v>
      </c>
      <c r="X167" s="17">
        <f t="shared" si="66"/>
        <v>6.4516129032258007E-2</v>
      </c>
      <c r="Y167" s="18">
        <f>+IFERROR(VLOOKUP(A167,[1]Hoja1!$A:$B,2,0),0)</f>
        <v>27</v>
      </c>
      <c r="Z167" s="18">
        <f>+IFERROR(VLOOKUP(A167,[1]Hoja1!$D:$E,2,0),0)</f>
        <v>1</v>
      </c>
      <c r="AA167" s="18">
        <f t="shared" si="67"/>
        <v>76</v>
      </c>
      <c r="AB167" s="18">
        <f t="shared" si="67"/>
        <v>3</v>
      </c>
      <c r="AC167">
        <f t="shared" si="68"/>
        <v>0</v>
      </c>
      <c r="AD167">
        <f t="shared" si="69"/>
        <v>0</v>
      </c>
      <c r="AE167">
        <f t="shared" si="70"/>
        <v>0</v>
      </c>
      <c r="AF167" s="17">
        <f t="shared" si="81"/>
        <v>0.43127962085308058</v>
      </c>
      <c r="AG167" s="17">
        <f t="shared" si="71"/>
        <v>0.43181818181818182</v>
      </c>
      <c r="AH167" s="18">
        <f t="shared" si="72"/>
        <v>145</v>
      </c>
      <c r="AI167" s="18">
        <f t="shared" si="72"/>
        <v>5</v>
      </c>
      <c r="AJ167">
        <f t="shared" si="73"/>
        <v>0</v>
      </c>
      <c r="AK167">
        <f t="shared" si="74"/>
        <v>0</v>
      </c>
      <c r="AL167">
        <f t="shared" si="75"/>
        <v>0</v>
      </c>
      <c r="AM167" s="17">
        <f t="shared" si="76"/>
        <v>0.42499999999999999</v>
      </c>
      <c r="AN167" s="17">
        <f t="shared" si="77"/>
        <v>0.43283582089552236</v>
      </c>
      <c r="AO167" s="18" t="str">
        <f>+IFERROR(VLOOKUP(A167,[2]Rank!$B:$E,4,0),"No Ganador")</f>
        <v>No Ganador</v>
      </c>
      <c r="AP167" s="18">
        <f>+VLOOKUP(D167,[2]Departamento!$A$1:$B$16,2,0)</f>
        <v>2</v>
      </c>
      <c r="AQ167">
        <f t="shared" si="78"/>
        <v>0</v>
      </c>
    </row>
    <row r="168" spans="1:43" x14ac:dyDescent="0.3">
      <c r="A168" t="s">
        <v>400</v>
      </c>
      <c r="B168" t="s">
        <v>401</v>
      </c>
      <c r="C168" t="s">
        <v>43</v>
      </c>
      <c r="D168" t="s">
        <v>44</v>
      </c>
      <c r="E168" s="10" t="s">
        <v>45</v>
      </c>
      <c r="F168" s="10" t="s">
        <v>46</v>
      </c>
      <c r="G168" s="11">
        <v>124</v>
      </c>
      <c r="H168" s="12">
        <v>177.54545454545456</v>
      </c>
      <c r="I168" s="12">
        <f t="shared" si="56"/>
        <v>177.54545454545456</v>
      </c>
      <c r="J168" s="13">
        <f t="shared" si="79"/>
        <v>213</v>
      </c>
      <c r="K168" s="14">
        <f t="shared" si="57"/>
        <v>192</v>
      </c>
      <c r="L168" s="15">
        <v>6</v>
      </c>
      <c r="M168" s="12">
        <v>14.09090909090909</v>
      </c>
      <c r="N168" s="12">
        <f t="shared" si="58"/>
        <v>14.09090909090909</v>
      </c>
      <c r="O168" s="13">
        <v>17</v>
      </c>
      <c r="P168" s="16">
        <f t="shared" si="80"/>
        <v>15</v>
      </c>
      <c r="Q168" s="15">
        <f t="shared" si="59"/>
        <v>35.454545454545439</v>
      </c>
      <c r="R168" s="12">
        <f t="shared" si="60"/>
        <v>14.454545454545439</v>
      </c>
      <c r="S168" s="12">
        <f t="shared" si="61"/>
        <v>2.9090909090909101</v>
      </c>
      <c r="T168" s="12">
        <f t="shared" si="62"/>
        <v>0.90909090909091006</v>
      </c>
      <c r="U168" s="17">
        <f t="shared" si="63"/>
        <v>0.19969278033794158</v>
      </c>
      <c r="V168" s="17">
        <f t="shared" si="64"/>
        <v>8.1413210445468343E-2</v>
      </c>
      <c r="W168" s="17">
        <f t="shared" si="65"/>
        <v>0.20645161290322589</v>
      </c>
      <c r="X168" s="17">
        <f t="shared" si="66"/>
        <v>6.4516129032258229E-2</v>
      </c>
      <c r="Y168" s="18">
        <f>+IFERROR(VLOOKUP(A168,[1]Hoja1!$A:$B,2,0),0)</f>
        <v>0</v>
      </c>
      <c r="Z168" s="18">
        <f>+IFERROR(VLOOKUP(A168,[1]Hoja1!$D:$E,2,0),0)</f>
        <v>0</v>
      </c>
      <c r="AA168" s="18">
        <f t="shared" si="67"/>
        <v>0</v>
      </c>
      <c r="AB168" s="18">
        <f t="shared" si="67"/>
        <v>0</v>
      </c>
      <c r="AC168">
        <f t="shared" si="68"/>
        <v>0</v>
      </c>
      <c r="AD168">
        <f t="shared" si="69"/>
        <v>0</v>
      </c>
      <c r="AE168">
        <f t="shared" si="70"/>
        <v>0</v>
      </c>
      <c r="AF168" s="17">
        <f t="shared" si="81"/>
        <v>0</v>
      </c>
      <c r="AG168" s="17">
        <f t="shared" si="71"/>
        <v>0</v>
      </c>
      <c r="AH168" s="18">
        <f t="shared" si="72"/>
        <v>0</v>
      </c>
      <c r="AI168" s="18">
        <f t="shared" si="72"/>
        <v>0</v>
      </c>
      <c r="AJ168">
        <f t="shared" si="73"/>
        <v>0</v>
      </c>
      <c r="AK168">
        <f t="shared" si="74"/>
        <v>0</v>
      </c>
      <c r="AL168">
        <f t="shared" si="75"/>
        <v>0</v>
      </c>
      <c r="AM168" s="17">
        <f t="shared" si="76"/>
        <v>0</v>
      </c>
      <c r="AN168" s="17">
        <f t="shared" si="77"/>
        <v>0</v>
      </c>
      <c r="AO168" s="18" t="str">
        <f>+IFERROR(VLOOKUP(A168,[2]Rank!$B:$E,4,0),"No Ganador")</f>
        <v>No Ganador</v>
      </c>
      <c r="AP168" s="18">
        <f>+VLOOKUP(D168,[2]Departamento!$A$1:$B$16,2,0)</f>
        <v>6</v>
      </c>
      <c r="AQ168">
        <f t="shared" si="78"/>
        <v>0</v>
      </c>
    </row>
    <row r="169" spans="1:43" x14ac:dyDescent="0.3">
      <c r="A169" t="s">
        <v>402</v>
      </c>
      <c r="B169" t="s">
        <v>403</v>
      </c>
      <c r="C169" t="s">
        <v>43</v>
      </c>
      <c r="D169" t="s">
        <v>44</v>
      </c>
      <c r="E169" s="10" t="s">
        <v>45</v>
      </c>
      <c r="F169" s="10" t="s">
        <v>63</v>
      </c>
      <c r="G169" s="11">
        <v>109</v>
      </c>
      <c r="H169" s="12">
        <v>162.04545454545456</v>
      </c>
      <c r="I169" s="12">
        <f t="shared" si="56"/>
        <v>162.04545454545456</v>
      </c>
      <c r="J169" s="13">
        <f t="shared" si="79"/>
        <v>194</v>
      </c>
      <c r="K169" s="14">
        <f t="shared" si="57"/>
        <v>175</v>
      </c>
      <c r="L169" s="15">
        <v>17</v>
      </c>
      <c r="M169" s="12">
        <v>8.4545454545454533</v>
      </c>
      <c r="N169" s="12">
        <f t="shared" si="58"/>
        <v>17</v>
      </c>
      <c r="O169" s="13">
        <v>20</v>
      </c>
      <c r="P169" s="16">
        <f t="shared" si="80"/>
        <v>18</v>
      </c>
      <c r="Q169" s="15">
        <f t="shared" si="59"/>
        <v>31.954545454545439</v>
      </c>
      <c r="R169" s="12">
        <f t="shared" si="60"/>
        <v>12.954545454545439</v>
      </c>
      <c r="S169" s="12">
        <f t="shared" si="61"/>
        <v>11.545454545454547</v>
      </c>
      <c r="T169" s="12">
        <f t="shared" si="62"/>
        <v>9.5454545454545467</v>
      </c>
      <c r="U169" s="17">
        <f t="shared" si="63"/>
        <v>0.19719495091164085</v>
      </c>
      <c r="V169" s="17">
        <f t="shared" si="64"/>
        <v>7.9943899018232623E-2</v>
      </c>
      <c r="W169" s="17">
        <f t="shared" si="65"/>
        <v>1.3655913978494629</v>
      </c>
      <c r="X169" s="17">
        <f t="shared" si="66"/>
        <v>1.1290322580645165</v>
      </c>
      <c r="Y169" s="18">
        <f>+IFERROR(VLOOKUP(A169,[1]Hoja1!$A:$B,2,0),0)</f>
        <v>37</v>
      </c>
      <c r="Z169" s="18">
        <f>+IFERROR(VLOOKUP(A169,[1]Hoja1!$D:$E,2,0),0)</f>
        <v>0</v>
      </c>
      <c r="AA169" s="18">
        <f t="shared" si="67"/>
        <v>104</v>
      </c>
      <c r="AB169" s="18">
        <f t="shared" si="67"/>
        <v>0</v>
      </c>
      <c r="AC169">
        <f t="shared" si="68"/>
        <v>0</v>
      </c>
      <c r="AD169">
        <f t="shared" si="69"/>
        <v>0</v>
      </c>
      <c r="AE169">
        <f t="shared" si="70"/>
        <v>0</v>
      </c>
      <c r="AF169" s="17">
        <f t="shared" si="81"/>
        <v>0.35374149659863946</v>
      </c>
      <c r="AG169" s="17">
        <f t="shared" si="71"/>
        <v>0.53608247422680411</v>
      </c>
      <c r="AH169" s="18">
        <f t="shared" si="72"/>
        <v>198</v>
      </c>
      <c r="AI169" s="18">
        <f t="shared" si="72"/>
        <v>0</v>
      </c>
      <c r="AJ169">
        <f t="shared" si="73"/>
        <v>0</v>
      </c>
      <c r="AK169">
        <f t="shared" si="74"/>
        <v>0</v>
      </c>
      <c r="AL169">
        <f t="shared" si="75"/>
        <v>0</v>
      </c>
      <c r="AM169" s="17">
        <f t="shared" si="76"/>
        <v>0.35420393559928443</v>
      </c>
      <c r="AN169" s="17">
        <f t="shared" si="77"/>
        <v>0.53658536585365857</v>
      </c>
      <c r="AO169" s="18" t="str">
        <f>+IFERROR(VLOOKUP(A169,[2]Rank!$B:$E,4,0),"No Ganador")</f>
        <v>No Ganador</v>
      </c>
      <c r="AP169" s="18">
        <f>+VLOOKUP(D169,[2]Departamento!$A$1:$B$16,2,0)</f>
        <v>6</v>
      </c>
      <c r="AQ169">
        <f t="shared" si="78"/>
        <v>0</v>
      </c>
    </row>
    <row r="170" spans="1:43" x14ac:dyDescent="0.3">
      <c r="A170" t="s">
        <v>404</v>
      </c>
      <c r="B170" t="s">
        <v>405</v>
      </c>
      <c r="C170" t="s">
        <v>43</v>
      </c>
      <c r="D170" t="s">
        <v>44</v>
      </c>
      <c r="E170" s="10" t="s">
        <v>45</v>
      </c>
      <c r="F170" s="10" t="s">
        <v>63</v>
      </c>
      <c r="G170" s="11">
        <v>99</v>
      </c>
      <c r="H170" s="12">
        <v>153.59090909090907</v>
      </c>
      <c r="I170" s="12">
        <f t="shared" si="56"/>
        <v>153.59090909090907</v>
      </c>
      <c r="J170" s="13">
        <f t="shared" si="79"/>
        <v>184</v>
      </c>
      <c r="K170" s="14">
        <f t="shared" si="57"/>
        <v>166</v>
      </c>
      <c r="L170" s="15">
        <v>3</v>
      </c>
      <c r="M170" s="12">
        <v>4.2272727272727266</v>
      </c>
      <c r="N170" s="12">
        <f t="shared" si="58"/>
        <v>4.2272727272727266</v>
      </c>
      <c r="O170" s="13">
        <v>5</v>
      </c>
      <c r="P170" s="16">
        <f t="shared" si="80"/>
        <v>5</v>
      </c>
      <c r="Q170" s="15">
        <f t="shared" si="59"/>
        <v>30.409090909090935</v>
      </c>
      <c r="R170" s="12">
        <f t="shared" si="60"/>
        <v>12.409090909090935</v>
      </c>
      <c r="S170" s="12">
        <f t="shared" si="61"/>
        <v>0.77272727272727337</v>
      </c>
      <c r="T170" s="12">
        <f t="shared" si="62"/>
        <v>0.77272727272727337</v>
      </c>
      <c r="U170" s="17">
        <f t="shared" si="63"/>
        <v>0.19798757028706748</v>
      </c>
      <c r="V170" s="17">
        <f t="shared" si="64"/>
        <v>8.079313406333255E-2</v>
      </c>
      <c r="W170" s="17">
        <f t="shared" si="65"/>
        <v>0.18279569892473146</v>
      </c>
      <c r="X170" s="17">
        <f t="shared" si="66"/>
        <v>0.18279569892473146</v>
      </c>
      <c r="Y170" s="18">
        <f>+IFERROR(VLOOKUP(A170,[1]Hoja1!$A:$B,2,0),0)</f>
        <v>37</v>
      </c>
      <c r="Z170" s="18">
        <f>+IFERROR(VLOOKUP(A170,[1]Hoja1!$D:$E,2,0),0)</f>
        <v>1</v>
      </c>
      <c r="AA170" s="18">
        <f t="shared" si="67"/>
        <v>104</v>
      </c>
      <c r="AB170" s="18">
        <f t="shared" si="67"/>
        <v>3</v>
      </c>
      <c r="AC170">
        <f t="shared" si="68"/>
        <v>0</v>
      </c>
      <c r="AD170">
        <f t="shared" si="69"/>
        <v>0</v>
      </c>
      <c r="AE170">
        <f t="shared" si="70"/>
        <v>0</v>
      </c>
      <c r="AF170" s="17">
        <f t="shared" si="81"/>
        <v>0.56937799043062198</v>
      </c>
      <c r="AG170" s="17">
        <f t="shared" si="71"/>
        <v>0.56521739130434778</v>
      </c>
      <c r="AH170" s="18">
        <f t="shared" si="72"/>
        <v>198</v>
      </c>
      <c r="AI170" s="18">
        <f t="shared" si="72"/>
        <v>5</v>
      </c>
      <c r="AJ170">
        <f t="shared" si="73"/>
        <v>0</v>
      </c>
      <c r="AK170">
        <f t="shared" si="74"/>
        <v>0</v>
      </c>
      <c r="AL170">
        <f t="shared" si="75"/>
        <v>0</v>
      </c>
      <c r="AM170" s="17">
        <f t="shared" si="76"/>
        <v>0.5575</v>
      </c>
      <c r="AN170" s="17">
        <f t="shared" si="77"/>
        <v>0.56571428571428573</v>
      </c>
      <c r="AO170" s="18" t="str">
        <f>+IFERROR(VLOOKUP(A170,[2]Rank!$B:$E,4,0),"No Ganador")</f>
        <v>No Ganador</v>
      </c>
      <c r="AP170" s="18">
        <f>+VLOOKUP(D170,[2]Departamento!$A$1:$B$16,2,0)</f>
        <v>6</v>
      </c>
      <c r="AQ170">
        <f t="shared" si="78"/>
        <v>0</v>
      </c>
    </row>
    <row r="171" spans="1:43" x14ac:dyDescent="0.3">
      <c r="A171" t="s">
        <v>406</v>
      </c>
      <c r="B171" t="s">
        <v>407</v>
      </c>
      <c r="C171" t="s">
        <v>43</v>
      </c>
      <c r="D171" t="s">
        <v>90</v>
      </c>
      <c r="E171" s="10" t="s">
        <v>69</v>
      </c>
      <c r="F171" s="10" t="s">
        <v>75</v>
      </c>
      <c r="G171" s="11">
        <v>143</v>
      </c>
      <c r="H171" s="12">
        <v>201.5</v>
      </c>
      <c r="I171" s="12">
        <f t="shared" si="56"/>
        <v>201.5</v>
      </c>
      <c r="J171" s="13">
        <f t="shared" si="79"/>
        <v>242</v>
      </c>
      <c r="K171" s="14">
        <f t="shared" si="57"/>
        <v>219</v>
      </c>
      <c r="L171" s="15">
        <v>2</v>
      </c>
      <c r="M171" s="12">
        <v>1.4090909090909092</v>
      </c>
      <c r="N171" s="12">
        <f t="shared" si="58"/>
        <v>2</v>
      </c>
      <c r="O171" s="13">
        <v>3</v>
      </c>
      <c r="P171" s="16">
        <v>3</v>
      </c>
      <c r="Q171" s="15">
        <f t="shared" si="59"/>
        <v>40.5</v>
      </c>
      <c r="R171" s="12">
        <f t="shared" si="60"/>
        <v>17.5</v>
      </c>
      <c r="S171" s="12">
        <f t="shared" si="61"/>
        <v>1.5909090909090908</v>
      </c>
      <c r="T171" s="12">
        <f t="shared" si="62"/>
        <v>1.5909090909090908</v>
      </c>
      <c r="U171" s="17">
        <f t="shared" si="63"/>
        <v>0.20099255583126552</v>
      </c>
      <c r="V171" s="17">
        <f t="shared" si="64"/>
        <v>8.6848635235732052E-2</v>
      </c>
      <c r="W171" s="17">
        <f t="shared" si="65"/>
        <v>1.129032258064516</v>
      </c>
      <c r="X171" s="17">
        <f t="shared" si="66"/>
        <v>1.129032258064516</v>
      </c>
      <c r="Y171" s="18">
        <f>+IFERROR(VLOOKUP(A171,[1]Hoja1!$A:$B,2,0),0)</f>
        <v>19</v>
      </c>
      <c r="Z171" s="18">
        <f>+IFERROR(VLOOKUP(A171,[1]Hoja1!$D:$E,2,0),0)</f>
        <v>2</v>
      </c>
      <c r="AA171" s="18">
        <f t="shared" si="67"/>
        <v>54</v>
      </c>
      <c r="AB171" s="18">
        <f t="shared" si="67"/>
        <v>6</v>
      </c>
      <c r="AC171">
        <f t="shared" si="68"/>
        <v>0</v>
      </c>
      <c r="AD171">
        <f t="shared" si="69"/>
        <v>1</v>
      </c>
      <c r="AE171">
        <f t="shared" si="70"/>
        <v>0</v>
      </c>
      <c r="AF171" s="17">
        <f t="shared" si="81"/>
        <v>0.32684824902723736</v>
      </c>
      <c r="AG171" s="17">
        <f t="shared" si="71"/>
        <v>0.2231404958677686</v>
      </c>
      <c r="AH171" s="18">
        <f t="shared" si="72"/>
        <v>102</v>
      </c>
      <c r="AI171" s="18">
        <f t="shared" si="72"/>
        <v>11</v>
      </c>
      <c r="AJ171">
        <f t="shared" si="73"/>
        <v>0</v>
      </c>
      <c r="AK171">
        <f t="shared" si="74"/>
        <v>1</v>
      </c>
      <c r="AL171">
        <f t="shared" si="75"/>
        <v>0</v>
      </c>
      <c r="AM171" s="17">
        <f t="shared" si="76"/>
        <v>0.31975560081466398</v>
      </c>
      <c r="AN171" s="17">
        <f t="shared" si="77"/>
        <v>0.22125813449023862</v>
      </c>
      <c r="AO171" s="18" t="str">
        <f>+IFERROR(VLOOKUP(A171,[2]Rank!$B:$E,4,0),"No Ganador")</f>
        <v>No Ganador</v>
      </c>
      <c r="AP171" s="18">
        <f>+VLOOKUP(D171,[2]Departamento!$A$1:$B$16,2,0)</f>
        <v>2</v>
      </c>
      <c r="AQ171">
        <f t="shared" si="78"/>
        <v>0</v>
      </c>
    </row>
    <row r="172" spans="1:43" x14ac:dyDescent="0.3">
      <c r="A172" t="s">
        <v>408</v>
      </c>
      <c r="B172" t="s">
        <v>409</v>
      </c>
      <c r="C172" t="s">
        <v>43</v>
      </c>
      <c r="D172" t="s">
        <v>56</v>
      </c>
      <c r="E172" s="10" t="s">
        <v>57</v>
      </c>
      <c r="F172" s="10" t="s">
        <v>58</v>
      </c>
      <c r="G172" s="11">
        <v>69</v>
      </c>
      <c r="H172" s="12">
        <v>125.40909090909092</v>
      </c>
      <c r="I172" s="12">
        <f t="shared" si="56"/>
        <v>125.40909090909092</v>
      </c>
      <c r="J172" s="13">
        <f t="shared" si="79"/>
        <v>150</v>
      </c>
      <c r="K172" s="14">
        <f t="shared" si="57"/>
        <v>135</v>
      </c>
      <c r="L172" s="15">
        <v>0</v>
      </c>
      <c r="M172" s="12">
        <v>1.4090909090909092</v>
      </c>
      <c r="N172" s="12">
        <f t="shared" si="58"/>
        <v>1.4090909090909092</v>
      </c>
      <c r="O172" s="13">
        <v>2</v>
      </c>
      <c r="P172" s="16">
        <f t="shared" si="80"/>
        <v>2</v>
      </c>
      <c r="Q172" s="15">
        <f t="shared" si="59"/>
        <v>24.590909090909079</v>
      </c>
      <c r="R172" s="12">
        <f t="shared" si="60"/>
        <v>9.5909090909090793</v>
      </c>
      <c r="S172" s="12">
        <f t="shared" si="61"/>
        <v>0.59090909090909083</v>
      </c>
      <c r="T172" s="12">
        <f t="shared" si="62"/>
        <v>0.59090909090909083</v>
      </c>
      <c r="U172" s="17">
        <f t="shared" si="63"/>
        <v>0.19608553823849206</v>
      </c>
      <c r="V172" s="17">
        <f t="shared" si="64"/>
        <v>7.6476984414642901E-2</v>
      </c>
      <c r="W172" s="17">
        <f t="shared" si="65"/>
        <v>0.41935483870967727</v>
      </c>
      <c r="X172" s="17">
        <f t="shared" si="66"/>
        <v>0.41935483870967727</v>
      </c>
      <c r="Y172" s="18">
        <f>+IFERROR(VLOOKUP(A172,[1]Hoja1!$A:$B,2,0),0)</f>
        <v>27</v>
      </c>
      <c r="Z172" s="18">
        <f>+IFERROR(VLOOKUP(A172,[1]Hoja1!$D:$E,2,0),0)</f>
        <v>1</v>
      </c>
      <c r="AA172" s="18">
        <f t="shared" si="67"/>
        <v>76</v>
      </c>
      <c r="AB172" s="18">
        <f t="shared" si="67"/>
        <v>3</v>
      </c>
      <c r="AC172">
        <f t="shared" si="68"/>
        <v>0</v>
      </c>
      <c r="AD172">
        <f t="shared" si="69"/>
        <v>1</v>
      </c>
      <c r="AE172">
        <f t="shared" si="70"/>
        <v>0</v>
      </c>
      <c r="AF172" s="17">
        <f t="shared" si="81"/>
        <v>0.56874999999999998</v>
      </c>
      <c r="AG172" s="17">
        <f t="shared" si="71"/>
        <v>0.50666666666666671</v>
      </c>
      <c r="AH172" s="18">
        <f t="shared" si="72"/>
        <v>145</v>
      </c>
      <c r="AI172" s="18">
        <f t="shared" si="72"/>
        <v>5</v>
      </c>
      <c r="AJ172">
        <f t="shared" si="73"/>
        <v>0</v>
      </c>
      <c r="AK172">
        <f t="shared" si="74"/>
        <v>1</v>
      </c>
      <c r="AL172">
        <f t="shared" si="75"/>
        <v>0</v>
      </c>
      <c r="AM172" s="17">
        <f t="shared" si="76"/>
        <v>0.55737704918032782</v>
      </c>
      <c r="AN172" s="17">
        <f t="shared" si="77"/>
        <v>0.50877192982456143</v>
      </c>
      <c r="AO172" s="18" t="str">
        <f>+IFERROR(VLOOKUP(A172,[2]Rank!$B:$E,4,0),"No Ganador")</f>
        <v>No Ganador</v>
      </c>
      <c r="AP172" s="18">
        <f>+VLOOKUP(D172,[2]Departamento!$A$1:$B$16,2,0)</f>
        <v>2</v>
      </c>
      <c r="AQ172">
        <f t="shared" si="78"/>
        <v>0</v>
      </c>
    </row>
    <row r="173" spans="1:43" x14ac:dyDescent="0.3">
      <c r="A173" t="s">
        <v>410</v>
      </c>
      <c r="B173" t="s">
        <v>411</v>
      </c>
      <c r="C173" t="s">
        <v>43</v>
      </c>
      <c r="D173" t="s">
        <v>74</v>
      </c>
      <c r="E173" s="10" t="s">
        <v>57</v>
      </c>
      <c r="F173" s="10" t="s">
        <v>75</v>
      </c>
      <c r="G173" s="11">
        <v>145</v>
      </c>
      <c r="H173" s="12">
        <v>202.90909090909093</v>
      </c>
      <c r="I173" s="12">
        <f t="shared" si="56"/>
        <v>202.90909090909093</v>
      </c>
      <c r="J173" s="13">
        <f t="shared" si="79"/>
        <v>243</v>
      </c>
      <c r="K173" s="14">
        <f t="shared" si="57"/>
        <v>219</v>
      </c>
      <c r="L173" s="15">
        <v>1</v>
      </c>
      <c r="M173" s="12">
        <v>1.4090909090909092</v>
      </c>
      <c r="N173" s="12">
        <f t="shared" si="58"/>
        <v>1.4090909090909092</v>
      </c>
      <c r="O173" s="13">
        <v>2</v>
      </c>
      <c r="P173" s="16">
        <f t="shared" si="80"/>
        <v>2</v>
      </c>
      <c r="Q173" s="15">
        <f t="shared" si="59"/>
        <v>40.090909090909065</v>
      </c>
      <c r="R173" s="12">
        <f t="shared" si="60"/>
        <v>16.090909090909065</v>
      </c>
      <c r="S173" s="12">
        <f t="shared" si="61"/>
        <v>0.59090909090909083</v>
      </c>
      <c r="T173" s="12">
        <f t="shared" si="62"/>
        <v>0.59090909090909083</v>
      </c>
      <c r="U173" s="17">
        <f t="shared" si="63"/>
        <v>0.19758064516129026</v>
      </c>
      <c r="V173" s="17">
        <f t="shared" si="64"/>
        <v>7.9301075268817023E-2</v>
      </c>
      <c r="W173" s="17">
        <f t="shared" si="65"/>
        <v>0.41935483870967727</v>
      </c>
      <c r="X173" s="17">
        <f t="shared" si="66"/>
        <v>0.41935483870967727</v>
      </c>
      <c r="Y173" s="18">
        <f>+IFERROR(VLOOKUP(A173,[1]Hoja1!$A:$B,2,0),0)</f>
        <v>54</v>
      </c>
      <c r="Z173" s="18">
        <f>+IFERROR(VLOOKUP(A173,[1]Hoja1!$D:$E,2,0),0)</f>
        <v>0</v>
      </c>
      <c r="AA173" s="18">
        <f t="shared" si="67"/>
        <v>152</v>
      </c>
      <c r="AB173" s="18">
        <f t="shared" si="67"/>
        <v>0</v>
      </c>
      <c r="AC173">
        <f t="shared" si="68"/>
        <v>0</v>
      </c>
      <c r="AD173">
        <f t="shared" si="69"/>
        <v>0</v>
      </c>
      <c r="AE173">
        <f t="shared" si="70"/>
        <v>0</v>
      </c>
      <c r="AF173" s="17">
        <f t="shared" si="81"/>
        <v>0.60079051383399207</v>
      </c>
      <c r="AG173" s="17">
        <f t="shared" si="71"/>
        <v>0.62551440329218111</v>
      </c>
      <c r="AH173" s="18">
        <f t="shared" si="72"/>
        <v>290</v>
      </c>
      <c r="AI173" s="18">
        <f t="shared" si="72"/>
        <v>0</v>
      </c>
      <c r="AJ173">
        <f t="shared" si="73"/>
        <v>0</v>
      </c>
      <c r="AK173">
        <f t="shared" si="74"/>
        <v>0</v>
      </c>
      <c r="AL173">
        <f t="shared" si="75"/>
        <v>0</v>
      </c>
      <c r="AM173" s="17">
        <f t="shared" si="76"/>
        <v>0.60165975103734437</v>
      </c>
      <c r="AN173" s="17">
        <f t="shared" si="77"/>
        <v>0.62770562770562766</v>
      </c>
      <c r="AO173" s="18" t="str">
        <f>+IFERROR(VLOOKUP(A173,[2]Rank!$B:$E,4,0),"No Ganador")</f>
        <v>No Ganador</v>
      </c>
      <c r="AP173" s="18">
        <f>+VLOOKUP(D173,[2]Departamento!$A$1:$B$16,2,0)</f>
        <v>2</v>
      </c>
      <c r="AQ173">
        <f t="shared" si="78"/>
        <v>0</v>
      </c>
    </row>
    <row r="174" spans="1:43" x14ac:dyDescent="0.3">
      <c r="A174" t="s">
        <v>412</v>
      </c>
      <c r="B174" t="s">
        <v>413</v>
      </c>
      <c r="C174" t="s">
        <v>43</v>
      </c>
      <c r="D174" t="s">
        <v>44</v>
      </c>
      <c r="E174" s="10" t="s">
        <v>45</v>
      </c>
      <c r="F174" s="10" t="s">
        <v>63</v>
      </c>
      <c r="G174" s="11">
        <v>126</v>
      </c>
      <c r="H174" s="12">
        <v>188.81818181818181</v>
      </c>
      <c r="I174" s="12">
        <f t="shared" si="56"/>
        <v>188.81818181818181</v>
      </c>
      <c r="J174" s="13">
        <f t="shared" si="79"/>
        <v>227</v>
      </c>
      <c r="K174" s="14">
        <f t="shared" si="57"/>
        <v>205</v>
      </c>
      <c r="L174" s="15">
        <v>1</v>
      </c>
      <c r="M174" s="12">
        <v>11.272727272727273</v>
      </c>
      <c r="N174" s="12">
        <f t="shared" si="58"/>
        <v>11.272727272727273</v>
      </c>
      <c r="O174" s="13">
        <v>14</v>
      </c>
      <c r="P174" s="16">
        <f t="shared" si="80"/>
        <v>13</v>
      </c>
      <c r="Q174" s="15">
        <f t="shared" si="59"/>
        <v>38.181818181818187</v>
      </c>
      <c r="R174" s="12">
        <f t="shared" si="60"/>
        <v>16.181818181818187</v>
      </c>
      <c r="S174" s="12">
        <f t="shared" si="61"/>
        <v>2.7272727272727266</v>
      </c>
      <c r="T174" s="12">
        <f t="shared" si="62"/>
        <v>1.7272727272727266</v>
      </c>
      <c r="U174" s="17">
        <f t="shared" si="63"/>
        <v>0.20221473278767466</v>
      </c>
      <c r="V174" s="17">
        <f t="shared" si="64"/>
        <v>8.5700529610014398E-2</v>
      </c>
      <c r="W174" s="17">
        <f t="shared" si="65"/>
        <v>0.24193548387096775</v>
      </c>
      <c r="X174" s="17">
        <f t="shared" si="66"/>
        <v>0.15322580645161277</v>
      </c>
      <c r="Y174" s="18">
        <f>+IFERROR(VLOOKUP(A174,[1]Hoja1!$A:$B,2,0),0)</f>
        <v>25</v>
      </c>
      <c r="Z174" s="18">
        <f>+IFERROR(VLOOKUP(A174,[1]Hoja1!$D:$E,2,0),0)</f>
        <v>1</v>
      </c>
      <c r="AA174" s="18">
        <f t="shared" si="67"/>
        <v>70</v>
      </c>
      <c r="AB174" s="18">
        <f t="shared" si="67"/>
        <v>3</v>
      </c>
      <c r="AC174">
        <f t="shared" si="68"/>
        <v>0</v>
      </c>
      <c r="AD174">
        <f t="shared" si="69"/>
        <v>0</v>
      </c>
      <c r="AE174">
        <f t="shared" si="70"/>
        <v>0</v>
      </c>
      <c r="AF174" s="17">
        <f t="shared" si="81"/>
        <v>0.28619528619528617</v>
      </c>
      <c r="AG174" s="17">
        <f t="shared" si="71"/>
        <v>0.30837004405286345</v>
      </c>
      <c r="AH174" s="18">
        <f t="shared" si="72"/>
        <v>134</v>
      </c>
      <c r="AI174" s="18">
        <f t="shared" si="72"/>
        <v>5</v>
      </c>
      <c r="AJ174">
        <f t="shared" si="73"/>
        <v>0</v>
      </c>
      <c r="AK174">
        <f t="shared" si="74"/>
        <v>0</v>
      </c>
      <c r="AL174">
        <f t="shared" si="75"/>
        <v>0</v>
      </c>
      <c r="AM174" s="17">
        <f t="shared" si="76"/>
        <v>0.28042328042328041</v>
      </c>
      <c r="AN174" s="17">
        <f t="shared" si="77"/>
        <v>0.31018518518518517</v>
      </c>
      <c r="AO174" s="18" t="str">
        <f>+IFERROR(VLOOKUP(A174,[2]Rank!$B:$E,4,0),"No Ganador")</f>
        <v>No Ganador</v>
      </c>
      <c r="AP174" s="18">
        <f>+VLOOKUP(D174,[2]Departamento!$A$1:$B$16,2,0)</f>
        <v>6</v>
      </c>
      <c r="AQ174">
        <f t="shared" si="78"/>
        <v>0</v>
      </c>
    </row>
    <row r="175" spans="1:43" x14ac:dyDescent="0.3">
      <c r="A175" t="s">
        <v>414</v>
      </c>
      <c r="B175" t="s">
        <v>415</v>
      </c>
      <c r="C175" t="s">
        <v>43</v>
      </c>
      <c r="D175" t="s">
        <v>159</v>
      </c>
      <c r="E175" s="10" t="s">
        <v>57</v>
      </c>
      <c r="F175" s="10" t="s">
        <v>51</v>
      </c>
      <c r="G175" s="11">
        <v>240</v>
      </c>
      <c r="H175" s="12">
        <v>301.5454545454545</v>
      </c>
      <c r="I175" s="12">
        <f t="shared" si="56"/>
        <v>301.5454545454545</v>
      </c>
      <c r="J175" s="13">
        <f t="shared" si="79"/>
        <v>362</v>
      </c>
      <c r="K175" s="14">
        <f t="shared" si="57"/>
        <v>327</v>
      </c>
      <c r="L175" s="15">
        <v>13</v>
      </c>
      <c r="M175" s="12">
        <v>15.5</v>
      </c>
      <c r="N175" s="12">
        <f t="shared" si="58"/>
        <v>15.5</v>
      </c>
      <c r="O175" s="13">
        <v>19</v>
      </c>
      <c r="P175" s="16">
        <f t="shared" si="80"/>
        <v>17</v>
      </c>
      <c r="Q175" s="15">
        <f t="shared" si="59"/>
        <v>60.454545454545496</v>
      </c>
      <c r="R175" s="12">
        <f t="shared" si="60"/>
        <v>25.454545454545496</v>
      </c>
      <c r="S175" s="12">
        <f t="shared" si="61"/>
        <v>3.5</v>
      </c>
      <c r="T175" s="12">
        <f t="shared" si="62"/>
        <v>1.5</v>
      </c>
      <c r="U175" s="17">
        <f t="shared" si="63"/>
        <v>0.20048236358154981</v>
      </c>
      <c r="V175" s="17">
        <f t="shared" si="64"/>
        <v>8.4413626771179029E-2</v>
      </c>
      <c r="W175" s="17">
        <f t="shared" si="65"/>
        <v>0.22580645161290325</v>
      </c>
      <c r="X175" s="17">
        <f t="shared" si="66"/>
        <v>9.6774193548387011E-2</v>
      </c>
      <c r="Y175" s="18">
        <f>+IFERROR(VLOOKUP(A175,[1]Hoja1!$A:$B,2,0),0)</f>
        <v>54</v>
      </c>
      <c r="Z175" s="18">
        <f>+IFERROR(VLOOKUP(A175,[1]Hoja1!$D:$E,2,0),0)</f>
        <v>4</v>
      </c>
      <c r="AA175" s="18">
        <f t="shared" si="67"/>
        <v>152</v>
      </c>
      <c r="AB175" s="18">
        <f t="shared" si="67"/>
        <v>11</v>
      </c>
      <c r="AC175">
        <f t="shared" si="68"/>
        <v>0</v>
      </c>
      <c r="AD175">
        <f t="shared" si="69"/>
        <v>0</v>
      </c>
      <c r="AE175">
        <f t="shared" si="70"/>
        <v>0</v>
      </c>
      <c r="AF175" s="17">
        <f t="shared" si="81"/>
        <v>0.45295404814004375</v>
      </c>
      <c r="AG175" s="17">
        <f t="shared" si="71"/>
        <v>0.41988950276243092</v>
      </c>
      <c r="AH175" s="18">
        <f t="shared" si="72"/>
        <v>290</v>
      </c>
      <c r="AI175" s="18">
        <f t="shared" si="72"/>
        <v>21</v>
      </c>
      <c r="AJ175">
        <f t="shared" si="73"/>
        <v>0</v>
      </c>
      <c r="AK175">
        <f t="shared" si="74"/>
        <v>0</v>
      </c>
      <c r="AL175">
        <f t="shared" si="75"/>
        <v>0</v>
      </c>
      <c r="AM175" s="17">
        <f t="shared" si="76"/>
        <v>0.45454545454545453</v>
      </c>
      <c r="AN175" s="17">
        <f t="shared" si="77"/>
        <v>0.42089985486211901</v>
      </c>
      <c r="AO175" s="18" t="str">
        <f>+IFERROR(VLOOKUP(A175,[2]Rank!$B:$E,4,0),"No Ganador")</f>
        <v>No Ganador</v>
      </c>
      <c r="AP175" s="18">
        <f>+VLOOKUP(D175,[2]Departamento!$A$1:$B$16,2,0)</f>
        <v>2</v>
      </c>
      <c r="AQ175">
        <f t="shared" si="78"/>
        <v>0</v>
      </c>
    </row>
    <row r="176" spans="1:43" x14ac:dyDescent="0.3">
      <c r="A176" t="s">
        <v>416</v>
      </c>
      <c r="B176" t="s">
        <v>417</v>
      </c>
      <c r="C176" t="s">
        <v>43</v>
      </c>
      <c r="D176" t="s">
        <v>44</v>
      </c>
      <c r="E176" s="10" t="s">
        <v>45</v>
      </c>
      <c r="F176" s="10" t="s">
        <v>63</v>
      </c>
      <c r="G176" s="11">
        <v>294</v>
      </c>
      <c r="H176" s="12">
        <v>356.5</v>
      </c>
      <c r="I176" s="12">
        <f t="shared" si="56"/>
        <v>356.5</v>
      </c>
      <c r="J176" s="13">
        <f t="shared" si="79"/>
        <v>428</v>
      </c>
      <c r="K176" s="14">
        <f t="shared" si="57"/>
        <v>387</v>
      </c>
      <c r="L176" s="15">
        <v>3</v>
      </c>
      <c r="M176" s="12">
        <v>1.4090909090909092</v>
      </c>
      <c r="N176" s="12">
        <f t="shared" si="58"/>
        <v>3</v>
      </c>
      <c r="O176" s="13">
        <v>4</v>
      </c>
      <c r="P176" s="16">
        <v>3</v>
      </c>
      <c r="Q176" s="15">
        <f t="shared" si="59"/>
        <v>71.5</v>
      </c>
      <c r="R176" s="12">
        <f t="shared" si="60"/>
        <v>30.5</v>
      </c>
      <c r="S176" s="12">
        <f t="shared" si="61"/>
        <v>2.5909090909090908</v>
      </c>
      <c r="T176" s="12">
        <f t="shared" si="62"/>
        <v>1.5909090909090908</v>
      </c>
      <c r="U176" s="17">
        <f t="shared" si="63"/>
        <v>0.20056100981767178</v>
      </c>
      <c r="V176" s="17">
        <f t="shared" si="64"/>
        <v>8.5553997194950826E-2</v>
      </c>
      <c r="W176" s="17">
        <f t="shared" si="65"/>
        <v>1.8387096774193545</v>
      </c>
      <c r="X176" s="17">
        <f t="shared" si="66"/>
        <v>1.129032258064516</v>
      </c>
      <c r="Y176" s="18">
        <f>+IFERROR(VLOOKUP(A176,[1]Hoja1!$A:$B,2,0),0)</f>
        <v>101</v>
      </c>
      <c r="Z176" s="18">
        <f>+IFERROR(VLOOKUP(A176,[1]Hoja1!$D:$E,2,0),0)</f>
        <v>9</v>
      </c>
      <c r="AA176" s="18">
        <f t="shared" si="67"/>
        <v>285</v>
      </c>
      <c r="AB176" s="18">
        <f t="shared" si="67"/>
        <v>25</v>
      </c>
      <c r="AC176">
        <f t="shared" si="68"/>
        <v>0</v>
      </c>
      <c r="AD176">
        <f t="shared" si="69"/>
        <v>1</v>
      </c>
      <c r="AE176">
        <f t="shared" si="70"/>
        <v>0</v>
      </c>
      <c r="AF176" s="17">
        <f t="shared" si="81"/>
        <v>0.9151785714285714</v>
      </c>
      <c r="AG176" s="17">
        <f t="shared" si="71"/>
        <v>0.66588785046728971</v>
      </c>
      <c r="AH176" s="18">
        <f t="shared" si="72"/>
        <v>542</v>
      </c>
      <c r="AI176" s="18">
        <f t="shared" si="72"/>
        <v>48</v>
      </c>
      <c r="AJ176">
        <f t="shared" si="73"/>
        <v>0</v>
      </c>
      <c r="AK176">
        <f t="shared" si="74"/>
        <v>1</v>
      </c>
      <c r="AL176">
        <f t="shared" si="75"/>
        <v>0</v>
      </c>
      <c r="AM176" s="17">
        <f t="shared" si="76"/>
        <v>0.92</v>
      </c>
      <c r="AN176" s="17">
        <f t="shared" si="77"/>
        <v>0.66503067484662581</v>
      </c>
      <c r="AO176" s="18" t="str">
        <f>+IFERROR(VLOOKUP(A176,[2]Rank!$B:$E,4,0),"No Ganador")</f>
        <v>No Ganador</v>
      </c>
      <c r="AP176" s="18">
        <f>+VLOOKUP(D176,[2]Departamento!$A$1:$B$16,2,0)</f>
        <v>6</v>
      </c>
      <c r="AQ176">
        <f t="shared" si="78"/>
        <v>0</v>
      </c>
    </row>
    <row r="177" spans="1:43" x14ac:dyDescent="0.3">
      <c r="A177" t="s">
        <v>418</v>
      </c>
      <c r="B177" t="s">
        <v>419</v>
      </c>
      <c r="C177" t="s">
        <v>43</v>
      </c>
      <c r="D177" t="s">
        <v>99</v>
      </c>
      <c r="E177" s="10" t="s">
        <v>57</v>
      </c>
      <c r="F177" s="10" t="s">
        <v>46</v>
      </c>
      <c r="G177" s="11">
        <v>84</v>
      </c>
      <c r="H177" s="12">
        <v>153.59090909090907</v>
      </c>
      <c r="I177" s="12">
        <f t="shared" si="56"/>
        <v>153.59090909090907</v>
      </c>
      <c r="J177" s="13">
        <f t="shared" si="79"/>
        <v>184</v>
      </c>
      <c r="K177" s="14">
        <f t="shared" si="57"/>
        <v>166</v>
      </c>
      <c r="L177" s="15">
        <v>1</v>
      </c>
      <c r="M177" s="12">
        <v>0</v>
      </c>
      <c r="N177" s="12">
        <f t="shared" si="58"/>
        <v>1</v>
      </c>
      <c r="O177" s="13">
        <v>2</v>
      </c>
      <c r="P177" s="16">
        <f t="shared" si="80"/>
        <v>2</v>
      </c>
      <c r="Q177" s="15">
        <f t="shared" si="59"/>
        <v>30.409090909090935</v>
      </c>
      <c r="R177" s="12">
        <f t="shared" si="60"/>
        <v>12.409090909090935</v>
      </c>
      <c r="S177" s="12">
        <f t="shared" si="61"/>
        <v>2</v>
      </c>
      <c r="T177" s="12">
        <f t="shared" si="62"/>
        <v>2</v>
      </c>
      <c r="U177" s="17">
        <f t="shared" si="63"/>
        <v>0.19798757028706748</v>
      </c>
      <c r="V177" s="17">
        <f t="shared" si="64"/>
        <v>8.079313406333255E-2</v>
      </c>
      <c r="W177" s="17" t="str">
        <f t="shared" si="65"/>
        <v>-</v>
      </c>
      <c r="X177" s="17">
        <f t="shared" si="66"/>
        <v>0</v>
      </c>
      <c r="Y177" s="18">
        <f>+IFERROR(VLOOKUP(A177,[1]Hoja1!$A:$B,2,0),0)</f>
        <v>0</v>
      </c>
      <c r="Z177" s="18">
        <f>+IFERROR(VLOOKUP(A177,[1]Hoja1!$D:$E,2,0),0)</f>
        <v>0</v>
      </c>
      <c r="AA177" s="18">
        <f t="shared" si="67"/>
        <v>0</v>
      </c>
      <c r="AB177" s="18">
        <f t="shared" si="67"/>
        <v>0</v>
      </c>
      <c r="AC177">
        <f t="shared" si="68"/>
        <v>0</v>
      </c>
      <c r="AD177">
        <f t="shared" si="69"/>
        <v>0</v>
      </c>
      <c r="AE177">
        <f t="shared" si="70"/>
        <v>0</v>
      </c>
      <c r="AF177" s="17">
        <f t="shared" si="81"/>
        <v>0</v>
      </c>
      <c r="AG177" s="17">
        <f t="shared" si="71"/>
        <v>0</v>
      </c>
      <c r="AH177" s="18">
        <f t="shared" si="72"/>
        <v>0</v>
      </c>
      <c r="AI177" s="18">
        <f t="shared" si="72"/>
        <v>0</v>
      </c>
      <c r="AJ177">
        <f t="shared" si="73"/>
        <v>0</v>
      </c>
      <c r="AK177">
        <f t="shared" si="74"/>
        <v>0</v>
      </c>
      <c r="AL177">
        <f t="shared" si="75"/>
        <v>0</v>
      </c>
      <c r="AM177" s="17">
        <f t="shared" si="76"/>
        <v>0</v>
      </c>
      <c r="AN177" s="17">
        <f t="shared" si="77"/>
        <v>0</v>
      </c>
      <c r="AO177" s="18" t="str">
        <f>+IFERROR(VLOOKUP(A177,[2]Rank!$B:$E,4,0),"No Ganador")</f>
        <v>No Ganador</v>
      </c>
      <c r="AP177" s="18">
        <f>+VLOOKUP(D177,[2]Departamento!$A$1:$B$16,2,0)</f>
        <v>2</v>
      </c>
      <c r="AQ177">
        <f t="shared" si="78"/>
        <v>0</v>
      </c>
    </row>
    <row r="178" spans="1:43" x14ac:dyDescent="0.3">
      <c r="A178" t="s">
        <v>420</v>
      </c>
      <c r="B178" t="s">
        <v>421</v>
      </c>
      <c r="C178" t="s">
        <v>43</v>
      </c>
      <c r="D178" t="s">
        <v>44</v>
      </c>
      <c r="E178" s="10" t="s">
        <v>45</v>
      </c>
      <c r="F178" s="10" t="s">
        <v>63</v>
      </c>
      <c r="G178" s="11">
        <v>98</v>
      </c>
      <c r="H178" s="12">
        <v>169.09090909090907</v>
      </c>
      <c r="I178" s="12">
        <f t="shared" si="56"/>
        <v>169.09090909090907</v>
      </c>
      <c r="J178" s="13">
        <f t="shared" si="79"/>
        <v>203</v>
      </c>
      <c r="K178" s="14">
        <f t="shared" si="57"/>
        <v>183</v>
      </c>
      <c r="L178" s="15">
        <v>4</v>
      </c>
      <c r="M178" s="12">
        <v>12.681818181818183</v>
      </c>
      <c r="N178" s="12">
        <f t="shared" si="58"/>
        <v>12.681818181818183</v>
      </c>
      <c r="O178" s="13">
        <v>15</v>
      </c>
      <c r="P178" s="16">
        <f t="shared" si="80"/>
        <v>14</v>
      </c>
      <c r="Q178" s="15">
        <f t="shared" si="59"/>
        <v>33.909090909090935</v>
      </c>
      <c r="R178" s="12">
        <f t="shared" si="60"/>
        <v>13.909090909090935</v>
      </c>
      <c r="S178" s="12">
        <f t="shared" si="61"/>
        <v>2.3181818181818166</v>
      </c>
      <c r="T178" s="12">
        <f t="shared" si="62"/>
        <v>1.3181818181818166</v>
      </c>
      <c r="U178" s="17">
        <f t="shared" si="63"/>
        <v>0.20053763440860228</v>
      </c>
      <c r="V178" s="17">
        <f t="shared" si="64"/>
        <v>8.225806451612927E-2</v>
      </c>
      <c r="W178" s="17">
        <f t="shared" si="65"/>
        <v>0.18279569892473102</v>
      </c>
      <c r="X178" s="17">
        <f t="shared" si="66"/>
        <v>0.10394265232974886</v>
      </c>
      <c r="Y178" s="18">
        <f>+IFERROR(VLOOKUP(A178,[1]Hoja1!$A:$B,2,0),0)</f>
        <v>47</v>
      </c>
      <c r="Z178" s="18">
        <f>+IFERROR(VLOOKUP(A178,[1]Hoja1!$D:$E,2,0),0)</f>
        <v>2</v>
      </c>
      <c r="AA178" s="18">
        <f t="shared" si="67"/>
        <v>132</v>
      </c>
      <c r="AB178" s="18">
        <f t="shared" si="67"/>
        <v>6</v>
      </c>
      <c r="AC178">
        <f t="shared" si="68"/>
        <v>0</v>
      </c>
      <c r="AD178">
        <f t="shared" si="69"/>
        <v>0</v>
      </c>
      <c r="AE178">
        <f t="shared" si="70"/>
        <v>0</v>
      </c>
      <c r="AF178" s="17">
        <f t="shared" si="81"/>
        <v>0.58273381294964033</v>
      </c>
      <c r="AG178" s="17">
        <f t="shared" si="71"/>
        <v>0.65024630541871919</v>
      </c>
      <c r="AH178" s="18">
        <f t="shared" si="72"/>
        <v>252</v>
      </c>
      <c r="AI178" s="18">
        <f t="shared" si="72"/>
        <v>11</v>
      </c>
      <c r="AJ178">
        <f t="shared" si="73"/>
        <v>0</v>
      </c>
      <c r="AK178">
        <f t="shared" si="74"/>
        <v>0</v>
      </c>
      <c r="AL178">
        <f t="shared" si="75"/>
        <v>0</v>
      </c>
      <c r="AM178" s="17">
        <f t="shared" si="76"/>
        <v>0.57815442561205277</v>
      </c>
      <c r="AN178" s="17">
        <f t="shared" si="77"/>
        <v>0.65284974093264247</v>
      </c>
      <c r="AO178" s="18" t="str">
        <f>+IFERROR(VLOOKUP(A178,[2]Rank!$B:$E,4,0),"No Ganador")</f>
        <v>No Ganador</v>
      </c>
      <c r="AP178" s="18">
        <f>+VLOOKUP(D178,[2]Departamento!$A$1:$B$16,2,0)</f>
        <v>6</v>
      </c>
      <c r="AQ178">
        <f t="shared" si="78"/>
        <v>0</v>
      </c>
    </row>
    <row r="179" spans="1:43" x14ac:dyDescent="0.3">
      <c r="A179" t="s">
        <v>422</v>
      </c>
      <c r="B179" t="s">
        <v>423</v>
      </c>
      <c r="C179" t="s">
        <v>43</v>
      </c>
      <c r="D179" t="s">
        <v>44</v>
      </c>
      <c r="E179" s="10" t="s">
        <v>45</v>
      </c>
      <c r="F179" s="10" t="s">
        <v>46</v>
      </c>
      <c r="G179" s="11">
        <v>135</v>
      </c>
      <c r="H179" s="12">
        <v>209.95454545454544</v>
      </c>
      <c r="I179" s="12">
        <f t="shared" si="56"/>
        <v>209.95454545454544</v>
      </c>
      <c r="J179" s="13">
        <f t="shared" si="79"/>
        <v>252</v>
      </c>
      <c r="K179" s="14">
        <f t="shared" si="57"/>
        <v>228</v>
      </c>
      <c r="L179" s="15">
        <v>3</v>
      </c>
      <c r="M179" s="12">
        <v>4.2272727272727266</v>
      </c>
      <c r="N179" s="12">
        <f t="shared" si="58"/>
        <v>4.2272727272727266</v>
      </c>
      <c r="O179" s="13">
        <v>5</v>
      </c>
      <c r="P179" s="16">
        <f t="shared" si="80"/>
        <v>5</v>
      </c>
      <c r="Q179" s="15">
        <f t="shared" si="59"/>
        <v>42.045454545454561</v>
      </c>
      <c r="R179" s="12">
        <f t="shared" si="60"/>
        <v>18.045454545454561</v>
      </c>
      <c r="S179" s="12">
        <f t="shared" si="61"/>
        <v>0.77272727272727337</v>
      </c>
      <c r="T179" s="12">
        <f t="shared" si="62"/>
        <v>0.77272727272727337</v>
      </c>
      <c r="U179" s="17">
        <f t="shared" si="63"/>
        <v>0.2002597964927475</v>
      </c>
      <c r="V179" s="17">
        <f t="shared" si="64"/>
        <v>8.5949339683914383E-2</v>
      </c>
      <c r="W179" s="17">
        <f t="shared" si="65"/>
        <v>0.18279569892473146</v>
      </c>
      <c r="X179" s="17">
        <f t="shared" si="66"/>
        <v>0.18279569892473146</v>
      </c>
      <c r="Y179" s="18">
        <f>+IFERROR(VLOOKUP(A179,[1]Hoja1!$A:$B,2,0),0)</f>
        <v>30</v>
      </c>
      <c r="Z179" s="18">
        <f>+IFERROR(VLOOKUP(A179,[1]Hoja1!$D:$E,2,0),0)</f>
        <v>1</v>
      </c>
      <c r="AA179" s="18">
        <f t="shared" si="67"/>
        <v>85</v>
      </c>
      <c r="AB179" s="18">
        <f t="shared" si="67"/>
        <v>3</v>
      </c>
      <c r="AC179">
        <f t="shared" si="68"/>
        <v>0</v>
      </c>
      <c r="AD179">
        <f t="shared" si="69"/>
        <v>0</v>
      </c>
      <c r="AE179">
        <f t="shared" si="70"/>
        <v>0</v>
      </c>
      <c r="AF179" s="17">
        <f t="shared" si="81"/>
        <v>0.36101083032490977</v>
      </c>
      <c r="AG179" s="17">
        <f t="shared" si="71"/>
        <v>0.33730158730158732</v>
      </c>
      <c r="AH179" s="18">
        <f t="shared" si="72"/>
        <v>161</v>
      </c>
      <c r="AI179" s="18">
        <f t="shared" si="72"/>
        <v>5</v>
      </c>
      <c r="AJ179">
        <f t="shared" si="73"/>
        <v>0</v>
      </c>
      <c r="AK179">
        <f t="shared" si="74"/>
        <v>0</v>
      </c>
      <c r="AL179">
        <f t="shared" si="75"/>
        <v>0</v>
      </c>
      <c r="AM179" s="17">
        <f t="shared" si="76"/>
        <v>0.35094339622641507</v>
      </c>
      <c r="AN179" s="17">
        <f t="shared" si="77"/>
        <v>0.33541666666666664</v>
      </c>
      <c r="AO179" s="18" t="str">
        <f>+IFERROR(VLOOKUP(A179,[2]Rank!$B:$E,4,0),"No Ganador")</f>
        <v>No Ganador</v>
      </c>
      <c r="AP179" s="18">
        <f>+VLOOKUP(D179,[2]Departamento!$A$1:$B$16,2,0)</f>
        <v>6</v>
      </c>
      <c r="AQ179">
        <f t="shared" si="78"/>
        <v>0</v>
      </c>
    </row>
    <row r="180" spans="1:43" x14ac:dyDescent="0.3">
      <c r="A180" t="s">
        <v>424</v>
      </c>
      <c r="B180" t="s">
        <v>425</v>
      </c>
      <c r="C180" t="s">
        <v>43</v>
      </c>
      <c r="D180" t="s">
        <v>87</v>
      </c>
      <c r="E180" s="10" t="s">
        <v>57</v>
      </c>
      <c r="F180" s="10" t="s">
        <v>58</v>
      </c>
      <c r="G180" s="11">
        <v>284</v>
      </c>
      <c r="H180" s="12">
        <v>360.72727272727275</v>
      </c>
      <c r="I180" s="12">
        <f t="shared" si="56"/>
        <v>360.72727272727275</v>
      </c>
      <c r="J180" s="13">
        <f t="shared" si="79"/>
        <v>433</v>
      </c>
      <c r="K180" s="14">
        <f t="shared" si="57"/>
        <v>391</v>
      </c>
      <c r="L180" s="15">
        <v>2</v>
      </c>
      <c r="M180" s="12">
        <v>1.4090909090909092</v>
      </c>
      <c r="N180" s="12">
        <f t="shared" si="58"/>
        <v>2</v>
      </c>
      <c r="O180" s="13">
        <v>3</v>
      </c>
      <c r="P180" s="16">
        <v>3</v>
      </c>
      <c r="Q180" s="15">
        <f t="shared" si="59"/>
        <v>72.272727272727252</v>
      </c>
      <c r="R180" s="12">
        <f t="shared" si="60"/>
        <v>30.272727272727252</v>
      </c>
      <c r="S180" s="12">
        <f t="shared" si="61"/>
        <v>1.5909090909090908</v>
      </c>
      <c r="T180" s="12">
        <f t="shared" si="62"/>
        <v>1.5909090909090908</v>
      </c>
      <c r="U180" s="17">
        <f t="shared" si="63"/>
        <v>0.20035282258064502</v>
      </c>
      <c r="V180" s="17">
        <f t="shared" si="64"/>
        <v>8.3921370967741771E-2</v>
      </c>
      <c r="W180" s="17">
        <f t="shared" si="65"/>
        <v>1.129032258064516</v>
      </c>
      <c r="X180" s="17">
        <f t="shared" si="66"/>
        <v>1.129032258064516</v>
      </c>
      <c r="Y180" s="18">
        <f>+IFERROR(VLOOKUP(A180,[1]Hoja1!$A:$B,2,0),0)</f>
        <v>134</v>
      </c>
      <c r="Z180" s="18">
        <f>+IFERROR(VLOOKUP(A180,[1]Hoja1!$D:$E,2,0),0)</f>
        <v>6</v>
      </c>
      <c r="AA180" s="18">
        <f t="shared" si="67"/>
        <v>378</v>
      </c>
      <c r="AB180" s="18">
        <f t="shared" si="67"/>
        <v>17</v>
      </c>
      <c r="AC180">
        <f t="shared" si="68"/>
        <v>0</v>
      </c>
      <c r="AD180">
        <f t="shared" si="69"/>
        <v>1</v>
      </c>
      <c r="AE180">
        <f t="shared" si="70"/>
        <v>0</v>
      </c>
      <c r="AF180" s="17">
        <f t="shared" si="81"/>
        <v>1.0334821428571428</v>
      </c>
      <c r="AG180" s="17">
        <f t="shared" si="71"/>
        <v>0.87297921478060048</v>
      </c>
      <c r="AH180" s="18">
        <f t="shared" si="72"/>
        <v>719</v>
      </c>
      <c r="AI180" s="18">
        <f t="shared" si="72"/>
        <v>32</v>
      </c>
      <c r="AJ180">
        <f t="shared" si="73"/>
        <v>0</v>
      </c>
      <c r="AK180">
        <f t="shared" si="74"/>
        <v>1</v>
      </c>
      <c r="AL180">
        <f t="shared" si="75"/>
        <v>0</v>
      </c>
      <c r="AM180" s="17">
        <f t="shared" si="76"/>
        <v>1.0292740046838407</v>
      </c>
      <c r="AN180" s="17">
        <f t="shared" si="77"/>
        <v>0.87257281553398058</v>
      </c>
      <c r="AO180" s="18" t="str">
        <f>+IFERROR(VLOOKUP(A180,[2]Rank!$B:$E,4,0),"No Ganador")</f>
        <v>No Ganador</v>
      </c>
      <c r="AP180" s="18">
        <f>+VLOOKUP(D180,[2]Departamento!$A$1:$B$16,2,0)</f>
        <v>2</v>
      </c>
      <c r="AQ180">
        <f t="shared" si="78"/>
        <v>0</v>
      </c>
    </row>
    <row r="181" spans="1:43" x14ac:dyDescent="0.3">
      <c r="A181" t="s">
        <v>426</v>
      </c>
      <c r="B181" t="s">
        <v>427</v>
      </c>
      <c r="C181" t="s">
        <v>43</v>
      </c>
      <c r="D181" t="s">
        <v>87</v>
      </c>
      <c r="E181" s="10" t="s">
        <v>57</v>
      </c>
      <c r="F181" s="10" t="s">
        <v>58</v>
      </c>
      <c r="G181" s="11">
        <v>193</v>
      </c>
      <c r="H181" s="12">
        <v>271.9545454545455</v>
      </c>
      <c r="I181" s="12">
        <f t="shared" si="56"/>
        <v>271.9545454545455</v>
      </c>
      <c r="J181" s="13">
        <f t="shared" si="79"/>
        <v>326</v>
      </c>
      <c r="K181" s="14">
        <f t="shared" si="57"/>
        <v>294</v>
      </c>
      <c r="L181" s="15">
        <v>13</v>
      </c>
      <c r="M181" s="12">
        <v>15.5</v>
      </c>
      <c r="N181" s="12">
        <f t="shared" si="58"/>
        <v>15.5</v>
      </c>
      <c r="O181" s="13">
        <v>19</v>
      </c>
      <c r="P181" s="16">
        <f t="shared" si="80"/>
        <v>17</v>
      </c>
      <c r="Q181" s="15">
        <f t="shared" si="59"/>
        <v>54.045454545454504</v>
      </c>
      <c r="R181" s="12">
        <f t="shared" si="60"/>
        <v>22.045454545454504</v>
      </c>
      <c r="S181" s="12">
        <f t="shared" si="61"/>
        <v>3.5</v>
      </c>
      <c r="T181" s="12">
        <f t="shared" si="62"/>
        <v>1.5</v>
      </c>
      <c r="U181" s="17">
        <f t="shared" si="63"/>
        <v>0.19872973424703311</v>
      </c>
      <c r="V181" s="17">
        <f t="shared" si="64"/>
        <v>8.1063011866956192E-2</v>
      </c>
      <c r="W181" s="17">
        <f t="shared" si="65"/>
        <v>0.22580645161290325</v>
      </c>
      <c r="X181" s="17">
        <f t="shared" si="66"/>
        <v>9.6774193548387011E-2</v>
      </c>
      <c r="Y181" s="18">
        <f>+IFERROR(VLOOKUP(A181,[1]Hoja1!$A:$B,2,0),0)</f>
        <v>85</v>
      </c>
      <c r="Z181" s="18">
        <f>+IFERROR(VLOOKUP(A181,[1]Hoja1!$D:$E,2,0),0)</f>
        <v>4</v>
      </c>
      <c r="AA181" s="18">
        <f t="shared" si="67"/>
        <v>240</v>
      </c>
      <c r="AB181" s="18">
        <f t="shared" si="67"/>
        <v>11</v>
      </c>
      <c r="AC181">
        <f t="shared" si="68"/>
        <v>0</v>
      </c>
      <c r="AD181">
        <f t="shared" si="69"/>
        <v>0</v>
      </c>
      <c r="AE181">
        <f t="shared" si="70"/>
        <v>0</v>
      </c>
      <c r="AF181" s="17">
        <f t="shared" si="81"/>
        <v>0.70071258907363421</v>
      </c>
      <c r="AG181" s="17">
        <f t="shared" si="71"/>
        <v>0.73619631901840488</v>
      </c>
      <c r="AH181" s="18">
        <f t="shared" si="72"/>
        <v>456</v>
      </c>
      <c r="AI181" s="18">
        <f t="shared" si="72"/>
        <v>21</v>
      </c>
      <c r="AJ181">
        <f t="shared" si="73"/>
        <v>0</v>
      </c>
      <c r="AK181">
        <f t="shared" si="74"/>
        <v>0</v>
      </c>
      <c r="AL181">
        <f t="shared" si="75"/>
        <v>0</v>
      </c>
      <c r="AM181" s="17">
        <f t="shared" si="76"/>
        <v>0.70125000000000004</v>
      </c>
      <c r="AN181" s="17">
        <f t="shared" si="77"/>
        <v>0.73548387096774193</v>
      </c>
      <c r="AO181" s="18" t="str">
        <f>+IFERROR(VLOOKUP(A181,[2]Rank!$B:$E,4,0),"No Ganador")</f>
        <v>No Ganador</v>
      </c>
      <c r="AP181" s="18">
        <f>+VLOOKUP(D181,[2]Departamento!$A$1:$B$16,2,0)</f>
        <v>2</v>
      </c>
      <c r="AQ181">
        <f t="shared" si="78"/>
        <v>0</v>
      </c>
    </row>
    <row r="182" spans="1:43" x14ac:dyDescent="0.3">
      <c r="A182" t="s">
        <v>428</v>
      </c>
      <c r="B182" t="s">
        <v>429</v>
      </c>
      <c r="C182" t="s">
        <v>43</v>
      </c>
      <c r="D182" t="s">
        <v>119</v>
      </c>
      <c r="E182" s="10" t="s">
        <v>69</v>
      </c>
      <c r="F182" s="10" t="s">
        <v>114</v>
      </c>
      <c r="G182" s="11">
        <v>171</v>
      </c>
      <c r="H182" s="12">
        <v>246.59090909090907</v>
      </c>
      <c r="I182" s="12">
        <f t="shared" si="56"/>
        <v>246.59090909090907</v>
      </c>
      <c r="J182" s="13">
        <f t="shared" si="79"/>
        <v>296</v>
      </c>
      <c r="K182" s="14">
        <f t="shared" si="57"/>
        <v>267</v>
      </c>
      <c r="L182" s="15">
        <v>5</v>
      </c>
      <c r="M182" s="12">
        <v>25.363636363636367</v>
      </c>
      <c r="N182" s="12">
        <f t="shared" si="58"/>
        <v>25.363636363636367</v>
      </c>
      <c r="O182" s="13">
        <v>30</v>
      </c>
      <c r="P182" s="16">
        <f t="shared" si="80"/>
        <v>27</v>
      </c>
      <c r="Q182" s="15">
        <f t="shared" si="59"/>
        <v>49.409090909090935</v>
      </c>
      <c r="R182" s="12">
        <f t="shared" si="60"/>
        <v>20.409090909090935</v>
      </c>
      <c r="S182" s="12">
        <f t="shared" si="61"/>
        <v>4.6363636363636331</v>
      </c>
      <c r="T182" s="12">
        <f t="shared" si="62"/>
        <v>1.6363636363636331</v>
      </c>
      <c r="U182" s="17">
        <f t="shared" si="63"/>
        <v>0.20036866359447014</v>
      </c>
      <c r="V182" s="17">
        <f t="shared" si="64"/>
        <v>8.2764976958525471E-2</v>
      </c>
      <c r="W182" s="17">
        <f t="shared" si="65"/>
        <v>0.18279569892473102</v>
      </c>
      <c r="X182" s="17">
        <f t="shared" si="66"/>
        <v>6.4516129032258007E-2</v>
      </c>
      <c r="Y182" s="18">
        <f>+IFERROR(VLOOKUP(A182,[1]Hoja1!$A:$B,2,0),0)</f>
        <v>102</v>
      </c>
      <c r="Z182" s="18">
        <f>+IFERROR(VLOOKUP(A182,[1]Hoja1!$D:$E,2,0),0)</f>
        <v>20</v>
      </c>
      <c r="AA182" s="18">
        <f t="shared" si="67"/>
        <v>287</v>
      </c>
      <c r="AB182" s="18">
        <f t="shared" si="67"/>
        <v>56</v>
      </c>
      <c r="AC182">
        <f t="shared" si="68"/>
        <v>0</v>
      </c>
      <c r="AD182">
        <f t="shared" si="69"/>
        <v>1</v>
      </c>
      <c r="AE182">
        <f t="shared" si="70"/>
        <v>0</v>
      </c>
      <c r="AF182" s="17">
        <f t="shared" si="81"/>
        <v>1.2713004484304933</v>
      </c>
      <c r="AG182" s="17">
        <f t="shared" si="71"/>
        <v>0.96959459459459463</v>
      </c>
      <c r="AH182" s="18">
        <f t="shared" si="72"/>
        <v>547</v>
      </c>
      <c r="AI182" s="18">
        <f t="shared" si="72"/>
        <v>107</v>
      </c>
      <c r="AJ182">
        <f t="shared" si="73"/>
        <v>0</v>
      </c>
      <c r="AK182">
        <f t="shared" si="74"/>
        <v>1</v>
      </c>
      <c r="AL182">
        <f t="shared" si="75"/>
        <v>0</v>
      </c>
      <c r="AM182" s="17">
        <f t="shared" si="76"/>
        <v>1.2759433962264151</v>
      </c>
      <c r="AN182" s="17">
        <f t="shared" si="77"/>
        <v>0.97158081705150978</v>
      </c>
      <c r="AO182" s="18" t="str">
        <f>+IFERROR(VLOOKUP(A182,[2]Rank!$B:$E,4,0),"No Ganador")</f>
        <v>No Ganador</v>
      </c>
      <c r="AP182" s="18">
        <f>+VLOOKUP(D182,[2]Departamento!$A$1:$B$16,2,0)</f>
        <v>2</v>
      </c>
      <c r="AQ182">
        <f t="shared" si="78"/>
        <v>0</v>
      </c>
    </row>
    <row r="183" spans="1:43" x14ac:dyDescent="0.3">
      <c r="A183" t="s">
        <v>430</v>
      </c>
      <c r="B183" t="s">
        <v>431</v>
      </c>
      <c r="C183" t="s">
        <v>43</v>
      </c>
      <c r="D183" t="s">
        <v>44</v>
      </c>
      <c r="E183" s="10" t="s">
        <v>45</v>
      </c>
      <c r="F183" s="10" t="s">
        <v>63</v>
      </c>
      <c r="G183" s="11">
        <v>0</v>
      </c>
      <c r="H183" s="12">
        <v>73.27272727272728</v>
      </c>
      <c r="I183" s="12">
        <f t="shared" si="56"/>
        <v>73.27272727272728</v>
      </c>
      <c r="J183" s="13">
        <f t="shared" si="79"/>
        <v>88</v>
      </c>
      <c r="K183" s="14">
        <f t="shared" si="57"/>
        <v>79</v>
      </c>
      <c r="L183" s="15">
        <v>0</v>
      </c>
      <c r="M183" s="12">
        <v>29.590909090909093</v>
      </c>
      <c r="N183" s="12">
        <f t="shared" si="58"/>
        <v>29.590909090909093</v>
      </c>
      <c r="O183" s="13">
        <v>36</v>
      </c>
      <c r="P183" s="16">
        <f t="shared" si="80"/>
        <v>33</v>
      </c>
      <c r="Q183" s="15">
        <f t="shared" si="59"/>
        <v>14.72727272727272</v>
      </c>
      <c r="R183" s="12">
        <f t="shared" si="60"/>
        <v>5.7272727272727195</v>
      </c>
      <c r="S183" s="12">
        <f t="shared" si="61"/>
        <v>6.4090909090909065</v>
      </c>
      <c r="T183" s="12">
        <f t="shared" si="62"/>
        <v>3.4090909090909065</v>
      </c>
      <c r="U183" s="17">
        <f t="shared" si="63"/>
        <v>0.2009925558312653</v>
      </c>
      <c r="V183" s="17">
        <f t="shared" si="64"/>
        <v>7.8163771712158603E-2</v>
      </c>
      <c r="W183" s="17">
        <f t="shared" si="65"/>
        <v>0.21658986175115191</v>
      </c>
      <c r="X183" s="17">
        <f t="shared" si="66"/>
        <v>0.11520737327188924</v>
      </c>
      <c r="Y183" s="18">
        <f>+IFERROR(VLOOKUP(A183,[1]Hoja1!$A:$B,2,0),0)</f>
        <v>22</v>
      </c>
      <c r="Z183" s="18">
        <f>+IFERROR(VLOOKUP(A183,[1]Hoja1!$D:$E,2,0),0)</f>
        <v>10</v>
      </c>
      <c r="AA183" s="18">
        <f t="shared" si="67"/>
        <v>62</v>
      </c>
      <c r="AB183" s="18">
        <f t="shared" si="67"/>
        <v>28</v>
      </c>
      <c r="AC183">
        <f t="shared" si="68"/>
        <v>0</v>
      </c>
      <c r="AD183">
        <f t="shared" si="69"/>
        <v>0</v>
      </c>
      <c r="AE183">
        <f t="shared" si="70"/>
        <v>0</v>
      </c>
      <c r="AF183" s="17">
        <f t="shared" si="81"/>
        <v>0.75373134328358204</v>
      </c>
      <c r="AG183" s="17">
        <f t="shared" si="71"/>
        <v>0.70454545454545459</v>
      </c>
      <c r="AH183" s="18">
        <f t="shared" si="72"/>
        <v>118</v>
      </c>
      <c r="AI183" s="18">
        <f t="shared" si="72"/>
        <v>54</v>
      </c>
      <c r="AJ183">
        <f t="shared" si="73"/>
        <v>0</v>
      </c>
      <c r="AK183">
        <f t="shared" si="74"/>
        <v>0</v>
      </c>
      <c r="AL183">
        <f t="shared" si="75"/>
        <v>0</v>
      </c>
      <c r="AM183" s="17">
        <f t="shared" si="76"/>
        <v>0.7578125</v>
      </c>
      <c r="AN183" s="17">
        <f t="shared" si="77"/>
        <v>0.70658682634730541</v>
      </c>
      <c r="AO183" s="18" t="str">
        <f>+IFERROR(VLOOKUP(A183,[2]Rank!$B:$E,4,0),"No Ganador")</f>
        <v>No Ganador</v>
      </c>
      <c r="AP183" s="18">
        <f>+VLOOKUP(D183,[2]Departamento!$A$1:$B$16,2,0)</f>
        <v>6</v>
      </c>
      <c r="AQ183">
        <f t="shared" si="78"/>
        <v>0</v>
      </c>
    </row>
    <row r="184" spans="1:43" x14ac:dyDescent="0.3">
      <c r="A184" t="s">
        <v>432</v>
      </c>
      <c r="B184" t="s">
        <v>433</v>
      </c>
      <c r="C184" t="s">
        <v>43</v>
      </c>
      <c r="D184" t="s">
        <v>44</v>
      </c>
      <c r="E184" s="10" t="s">
        <v>45</v>
      </c>
      <c r="F184" s="10" t="s">
        <v>63</v>
      </c>
      <c r="G184" s="11">
        <v>392</v>
      </c>
      <c r="H184" s="12">
        <v>470.63636363636363</v>
      </c>
      <c r="I184" s="12">
        <f t="shared" si="56"/>
        <v>470.63636363636363</v>
      </c>
      <c r="J184" s="13">
        <f t="shared" si="79"/>
        <v>565</v>
      </c>
      <c r="K184" s="14">
        <f t="shared" si="57"/>
        <v>510</v>
      </c>
      <c r="L184" s="15">
        <v>11</v>
      </c>
      <c r="M184" s="12">
        <v>1.4090909090909092</v>
      </c>
      <c r="N184" s="12">
        <f t="shared" si="58"/>
        <v>11</v>
      </c>
      <c r="O184" s="13">
        <v>13</v>
      </c>
      <c r="P184" s="16">
        <f t="shared" si="80"/>
        <v>12</v>
      </c>
      <c r="Q184" s="15">
        <f t="shared" si="59"/>
        <v>94.363636363636374</v>
      </c>
      <c r="R184" s="12">
        <f t="shared" si="60"/>
        <v>39.363636363636374</v>
      </c>
      <c r="S184" s="12">
        <f t="shared" si="61"/>
        <v>11.59090909090909</v>
      </c>
      <c r="T184" s="12">
        <f t="shared" si="62"/>
        <v>10.59090909090909</v>
      </c>
      <c r="U184" s="17">
        <f t="shared" si="63"/>
        <v>0.2005022213637242</v>
      </c>
      <c r="V184" s="17">
        <f t="shared" si="64"/>
        <v>8.3639173266370603E-2</v>
      </c>
      <c r="W184" s="17">
        <f t="shared" si="65"/>
        <v>8.2258064516129021</v>
      </c>
      <c r="X184" s="17">
        <f t="shared" si="66"/>
        <v>7.5161290322580641</v>
      </c>
      <c r="Y184" s="18">
        <f>+IFERROR(VLOOKUP(A184,[1]Hoja1!$A:$B,2,0),0)</f>
        <v>250</v>
      </c>
      <c r="Z184" s="18">
        <f>+IFERROR(VLOOKUP(A184,[1]Hoja1!$D:$E,2,0),0)</f>
        <v>17</v>
      </c>
      <c r="AA184" s="18">
        <f t="shared" si="67"/>
        <v>705</v>
      </c>
      <c r="AB184" s="18">
        <f t="shared" si="67"/>
        <v>48</v>
      </c>
      <c r="AC184">
        <f t="shared" si="68"/>
        <v>1</v>
      </c>
      <c r="AD184">
        <f t="shared" si="69"/>
        <v>1</v>
      </c>
      <c r="AE184">
        <f t="shared" si="70"/>
        <v>1</v>
      </c>
      <c r="AF184" s="17">
        <f t="shared" si="81"/>
        <v>1.5</v>
      </c>
      <c r="AG184" s="17">
        <f t="shared" si="71"/>
        <v>1.247787610619469</v>
      </c>
      <c r="AH184" s="18">
        <f t="shared" si="72"/>
        <v>1341</v>
      </c>
      <c r="AI184" s="18">
        <f t="shared" si="72"/>
        <v>91</v>
      </c>
      <c r="AJ184">
        <f t="shared" si="73"/>
        <v>1</v>
      </c>
      <c r="AK184">
        <f t="shared" si="74"/>
        <v>1</v>
      </c>
      <c r="AL184">
        <f t="shared" si="75"/>
        <v>1</v>
      </c>
      <c r="AM184" s="17">
        <f t="shared" si="76"/>
        <v>1.4966666666666666</v>
      </c>
      <c r="AN184" s="17">
        <f t="shared" si="77"/>
        <v>1.2474418604651163</v>
      </c>
      <c r="AO184" s="18">
        <f>+IFERROR(VLOOKUP(A184,[2]Rank!$B:$E,4,0),"No Ganador")</f>
        <v>6</v>
      </c>
      <c r="AP184" s="18">
        <f>+VLOOKUP(D184,[2]Departamento!$A$1:$B$16,2,0)</f>
        <v>6</v>
      </c>
      <c r="AQ184">
        <f t="shared" si="78"/>
        <v>1</v>
      </c>
    </row>
    <row r="185" spans="1:43" x14ac:dyDescent="0.3">
      <c r="A185" t="s">
        <v>434</v>
      </c>
      <c r="B185" t="s">
        <v>435</v>
      </c>
      <c r="C185" t="s">
        <v>43</v>
      </c>
      <c r="D185" t="s">
        <v>68</v>
      </c>
      <c r="E185" s="10" t="s">
        <v>69</v>
      </c>
      <c r="F185" s="10" t="s">
        <v>46</v>
      </c>
      <c r="G185" s="11">
        <v>211</v>
      </c>
      <c r="H185" s="12">
        <v>287.4545454545455</v>
      </c>
      <c r="I185" s="12">
        <f t="shared" si="56"/>
        <v>287.4545454545455</v>
      </c>
      <c r="J185" s="13">
        <f t="shared" si="79"/>
        <v>345</v>
      </c>
      <c r="K185" s="14">
        <f t="shared" si="57"/>
        <v>312</v>
      </c>
      <c r="L185" s="15">
        <v>4</v>
      </c>
      <c r="M185" s="12">
        <v>0</v>
      </c>
      <c r="N185" s="12">
        <f t="shared" si="58"/>
        <v>4</v>
      </c>
      <c r="O185" s="13">
        <v>5</v>
      </c>
      <c r="P185" s="16">
        <v>4</v>
      </c>
      <c r="Q185" s="15">
        <f t="shared" si="59"/>
        <v>57.545454545454504</v>
      </c>
      <c r="R185" s="12">
        <f t="shared" si="60"/>
        <v>24.545454545454504</v>
      </c>
      <c r="S185" s="12">
        <f t="shared" si="61"/>
        <v>5</v>
      </c>
      <c r="T185" s="12">
        <f t="shared" si="62"/>
        <v>4</v>
      </c>
      <c r="U185" s="17">
        <f t="shared" si="63"/>
        <v>0.20018975332068289</v>
      </c>
      <c r="V185" s="17">
        <f t="shared" si="64"/>
        <v>8.5388994307400212E-2</v>
      </c>
      <c r="W185" s="17" t="str">
        <f t="shared" si="65"/>
        <v>-</v>
      </c>
      <c r="X185" s="17">
        <f t="shared" si="66"/>
        <v>0</v>
      </c>
      <c r="Y185" s="18">
        <f>+IFERROR(VLOOKUP(A185,[1]Hoja1!$A:$B,2,0),0)</f>
        <v>48</v>
      </c>
      <c r="Z185" s="18">
        <f>+IFERROR(VLOOKUP(A185,[1]Hoja1!$D:$E,2,0),0)</f>
        <v>0</v>
      </c>
      <c r="AA185" s="18">
        <f t="shared" si="67"/>
        <v>135</v>
      </c>
      <c r="AB185" s="18">
        <f t="shared" si="67"/>
        <v>0</v>
      </c>
      <c r="AC185">
        <f t="shared" si="68"/>
        <v>0</v>
      </c>
      <c r="AD185">
        <f t="shared" si="69"/>
        <v>0</v>
      </c>
      <c r="AE185">
        <f t="shared" si="70"/>
        <v>0</v>
      </c>
      <c r="AF185" s="17">
        <f t="shared" si="81"/>
        <v>0.36486486486486486</v>
      </c>
      <c r="AG185" s="17">
        <f t="shared" si="71"/>
        <v>0.39130434782608697</v>
      </c>
      <c r="AH185" s="18">
        <f t="shared" si="72"/>
        <v>257</v>
      </c>
      <c r="AI185" s="18">
        <f t="shared" si="72"/>
        <v>0</v>
      </c>
      <c r="AJ185">
        <f t="shared" si="73"/>
        <v>0</v>
      </c>
      <c r="AK185">
        <f t="shared" si="74"/>
        <v>0</v>
      </c>
      <c r="AL185">
        <f t="shared" si="75"/>
        <v>0</v>
      </c>
      <c r="AM185" s="17">
        <f t="shared" si="76"/>
        <v>0.36609686609686609</v>
      </c>
      <c r="AN185" s="17">
        <f t="shared" si="77"/>
        <v>0.39117199391171992</v>
      </c>
      <c r="AO185" s="18" t="str">
        <f>+IFERROR(VLOOKUP(A185,[2]Rank!$B:$E,4,0),"No Ganador")</f>
        <v>No Ganador</v>
      </c>
      <c r="AP185" s="18">
        <f>+VLOOKUP(D185,[2]Departamento!$A$1:$B$16,2,0)</f>
        <v>2</v>
      </c>
      <c r="AQ185">
        <f t="shared" si="78"/>
        <v>0</v>
      </c>
    </row>
    <row r="186" spans="1:43" x14ac:dyDescent="0.3">
      <c r="A186" t="s">
        <v>436</v>
      </c>
      <c r="B186" t="s">
        <v>437</v>
      </c>
      <c r="C186" t="s">
        <v>43</v>
      </c>
      <c r="D186" t="s">
        <v>68</v>
      </c>
      <c r="E186" s="10" t="s">
        <v>69</v>
      </c>
      <c r="F186" s="10" t="s">
        <v>46</v>
      </c>
      <c r="G186" s="11">
        <v>425</v>
      </c>
      <c r="H186" s="12">
        <v>508.68181818181819</v>
      </c>
      <c r="I186" s="12">
        <f t="shared" si="56"/>
        <v>508.68181818181819</v>
      </c>
      <c r="J186" s="13">
        <f t="shared" si="79"/>
        <v>610</v>
      </c>
      <c r="K186" s="14">
        <f t="shared" si="57"/>
        <v>551</v>
      </c>
      <c r="L186" s="15">
        <v>10</v>
      </c>
      <c r="M186" s="12">
        <v>9.8636363636363633</v>
      </c>
      <c r="N186" s="12">
        <f t="shared" si="58"/>
        <v>10</v>
      </c>
      <c r="O186" s="13">
        <v>12</v>
      </c>
      <c r="P186" s="16">
        <f t="shared" si="80"/>
        <v>11</v>
      </c>
      <c r="Q186" s="15">
        <f t="shared" si="59"/>
        <v>101.31818181818181</v>
      </c>
      <c r="R186" s="12">
        <f t="shared" si="60"/>
        <v>42.318181818181813</v>
      </c>
      <c r="S186" s="12">
        <f t="shared" si="61"/>
        <v>2.1363636363636367</v>
      </c>
      <c r="T186" s="12">
        <f t="shared" si="62"/>
        <v>1.1363636363636367</v>
      </c>
      <c r="U186" s="17">
        <f t="shared" si="63"/>
        <v>0.19917791082119551</v>
      </c>
      <c r="V186" s="17">
        <f t="shared" si="64"/>
        <v>8.3191850594227512E-2</v>
      </c>
      <c r="W186" s="17">
        <f t="shared" si="65"/>
        <v>0.21658986175115214</v>
      </c>
      <c r="X186" s="17">
        <f t="shared" si="66"/>
        <v>0.11520737327188946</v>
      </c>
      <c r="Y186" s="18">
        <f>+IFERROR(VLOOKUP(A186,[1]Hoja1!$A:$B,2,0),0)</f>
        <v>0</v>
      </c>
      <c r="Z186" s="18">
        <f>+IFERROR(VLOOKUP(A186,[1]Hoja1!$D:$E,2,0),0)</f>
        <v>0</v>
      </c>
      <c r="AA186" s="18">
        <f t="shared" si="67"/>
        <v>0</v>
      </c>
      <c r="AB186" s="18">
        <f t="shared" si="67"/>
        <v>0</v>
      </c>
      <c r="AC186">
        <f t="shared" si="68"/>
        <v>0</v>
      </c>
      <c r="AD186">
        <f t="shared" si="69"/>
        <v>0</v>
      </c>
      <c r="AE186">
        <f t="shared" si="70"/>
        <v>0</v>
      </c>
      <c r="AF186" s="17">
        <f t="shared" si="81"/>
        <v>0</v>
      </c>
      <c r="AG186" s="17">
        <f t="shared" si="71"/>
        <v>0</v>
      </c>
      <c r="AH186" s="18">
        <f t="shared" si="72"/>
        <v>0</v>
      </c>
      <c r="AI186" s="18">
        <f t="shared" si="72"/>
        <v>0</v>
      </c>
      <c r="AJ186">
        <f t="shared" si="73"/>
        <v>0</v>
      </c>
      <c r="AK186">
        <f t="shared" si="74"/>
        <v>0</v>
      </c>
      <c r="AL186">
        <f t="shared" si="75"/>
        <v>0</v>
      </c>
      <c r="AM186" s="17">
        <f t="shared" si="76"/>
        <v>0</v>
      </c>
      <c r="AN186" s="17">
        <f t="shared" si="77"/>
        <v>0</v>
      </c>
      <c r="AO186" s="18" t="str">
        <f>+IFERROR(VLOOKUP(A186,[2]Rank!$B:$E,4,0),"No Ganador")</f>
        <v>No Ganador</v>
      </c>
      <c r="AP186" s="18">
        <f>+VLOOKUP(D186,[2]Departamento!$A$1:$B$16,2,0)</f>
        <v>2</v>
      </c>
      <c r="AQ186">
        <f t="shared" si="78"/>
        <v>0</v>
      </c>
    </row>
    <row r="187" spans="1:43" x14ac:dyDescent="0.3">
      <c r="A187" t="s">
        <v>438</v>
      </c>
      <c r="B187" t="s">
        <v>439</v>
      </c>
      <c r="C187" t="s">
        <v>43</v>
      </c>
      <c r="D187" t="s">
        <v>110</v>
      </c>
      <c r="E187" s="10" t="s">
        <v>50</v>
      </c>
      <c r="F187" s="10" t="s">
        <v>51</v>
      </c>
      <c r="G187" s="11">
        <v>189</v>
      </c>
      <c r="H187" s="12">
        <v>286.0454545454545</v>
      </c>
      <c r="I187" s="12">
        <f t="shared" si="56"/>
        <v>286.0454545454545</v>
      </c>
      <c r="J187" s="13">
        <f t="shared" si="79"/>
        <v>343</v>
      </c>
      <c r="K187" s="14">
        <f t="shared" si="57"/>
        <v>310</v>
      </c>
      <c r="L187" s="15">
        <v>7</v>
      </c>
      <c r="M187" s="12">
        <v>16.909090909090907</v>
      </c>
      <c r="N187" s="12">
        <f t="shared" si="58"/>
        <v>16.909090909090907</v>
      </c>
      <c r="O187" s="13">
        <v>20</v>
      </c>
      <c r="P187" s="16">
        <f t="shared" si="80"/>
        <v>18</v>
      </c>
      <c r="Q187" s="15">
        <f t="shared" si="59"/>
        <v>56.954545454545496</v>
      </c>
      <c r="R187" s="12">
        <f t="shared" si="60"/>
        <v>23.954545454545496</v>
      </c>
      <c r="S187" s="12">
        <f t="shared" si="61"/>
        <v>3.0909090909090935</v>
      </c>
      <c r="T187" s="12">
        <f t="shared" si="62"/>
        <v>1.0909090909090935</v>
      </c>
      <c r="U187" s="17">
        <f t="shared" si="63"/>
        <v>0.19911012235817593</v>
      </c>
      <c r="V187" s="17">
        <f t="shared" si="64"/>
        <v>8.374384236453225E-2</v>
      </c>
      <c r="W187" s="17">
        <f t="shared" si="65"/>
        <v>0.18279569892473146</v>
      </c>
      <c r="X187" s="17">
        <f t="shared" si="66"/>
        <v>6.4516129032258229E-2</v>
      </c>
      <c r="Y187" s="18">
        <f>+IFERROR(VLOOKUP(A187,[1]Hoja1!$A:$B,2,0),0)</f>
        <v>46</v>
      </c>
      <c r="Z187" s="18">
        <f>+IFERROR(VLOOKUP(A187,[1]Hoja1!$D:$E,2,0),0)</f>
        <v>16</v>
      </c>
      <c r="AA187" s="18">
        <f t="shared" si="67"/>
        <v>130</v>
      </c>
      <c r="AB187" s="18">
        <f t="shared" si="67"/>
        <v>45</v>
      </c>
      <c r="AC187">
        <f t="shared" si="68"/>
        <v>0</v>
      </c>
      <c r="AD187">
        <f t="shared" si="69"/>
        <v>1</v>
      </c>
      <c r="AE187">
        <f t="shared" si="70"/>
        <v>0</v>
      </c>
      <c r="AF187" s="17">
        <f t="shared" si="81"/>
        <v>0.80135440180586903</v>
      </c>
      <c r="AG187" s="17">
        <f t="shared" si="71"/>
        <v>0.37900874635568516</v>
      </c>
      <c r="AH187" s="18">
        <f t="shared" si="72"/>
        <v>247</v>
      </c>
      <c r="AI187" s="18">
        <f t="shared" si="72"/>
        <v>86</v>
      </c>
      <c r="AJ187">
        <f t="shared" si="73"/>
        <v>0</v>
      </c>
      <c r="AK187">
        <f t="shared" si="74"/>
        <v>1</v>
      </c>
      <c r="AL187">
        <f t="shared" si="75"/>
        <v>0</v>
      </c>
      <c r="AM187" s="17">
        <f t="shared" si="76"/>
        <v>0.8030842230130486</v>
      </c>
      <c r="AN187" s="17">
        <f t="shared" si="77"/>
        <v>0.37825421133231241</v>
      </c>
      <c r="AO187" s="18" t="str">
        <f>+IFERROR(VLOOKUP(A187,[2]Rank!$B:$E,4,0),"No Ganador")</f>
        <v>No Ganador</v>
      </c>
      <c r="AP187" s="18">
        <f>+VLOOKUP(D187,[2]Departamento!$A$1:$B$16,2,0)</f>
        <v>1</v>
      </c>
      <c r="AQ187">
        <f t="shared" si="78"/>
        <v>0</v>
      </c>
    </row>
    <row r="188" spans="1:43" x14ac:dyDescent="0.3">
      <c r="A188" t="s">
        <v>440</v>
      </c>
      <c r="B188" t="s">
        <v>441</v>
      </c>
      <c r="C188" t="s">
        <v>442</v>
      </c>
      <c r="D188" t="s">
        <v>44</v>
      </c>
      <c r="E188" s="10" t="s">
        <v>45</v>
      </c>
      <c r="F188" s="10" t="s">
        <v>63</v>
      </c>
      <c r="G188" s="11">
        <v>216</v>
      </c>
      <c r="H188" s="12">
        <v>307.18181818181813</v>
      </c>
      <c r="I188" s="12">
        <f t="shared" si="56"/>
        <v>307.18181818181813</v>
      </c>
      <c r="J188" s="13">
        <f t="shared" si="79"/>
        <v>369</v>
      </c>
      <c r="K188" s="14">
        <f t="shared" si="57"/>
        <v>333</v>
      </c>
      <c r="L188" s="15">
        <v>62</v>
      </c>
      <c r="M188" s="12">
        <v>53.545454545454547</v>
      </c>
      <c r="N188" s="12">
        <f t="shared" si="58"/>
        <v>62</v>
      </c>
      <c r="O188" s="13">
        <v>74</v>
      </c>
      <c r="P188" s="16">
        <f t="shared" si="80"/>
        <v>67</v>
      </c>
      <c r="Q188" s="15">
        <f t="shared" si="59"/>
        <v>61.81818181818187</v>
      </c>
      <c r="R188" s="12">
        <f t="shared" si="60"/>
        <v>25.81818181818187</v>
      </c>
      <c r="S188" s="12">
        <f t="shared" si="61"/>
        <v>20.454545454545453</v>
      </c>
      <c r="T188" s="12">
        <f t="shared" si="62"/>
        <v>13.454545454545453</v>
      </c>
      <c r="U188" s="17">
        <f t="shared" si="63"/>
        <v>0.20124297129328217</v>
      </c>
      <c r="V188" s="17">
        <f t="shared" si="64"/>
        <v>8.4048535069547459E-2</v>
      </c>
      <c r="W188" s="17">
        <f t="shared" si="65"/>
        <v>0.38200339558573848</v>
      </c>
      <c r="X188" s="17">
        <f t="shared" si="66"/>
        <v>0.25127334465195239</v>
      </c>
      <c r="Y188" s="18">
        <f>+IFERROR(VLOOKUP(A188,[1]Hoja1!$A:$B,2,0),0)</f>
        <v>171</v>
      </c>
      <c r="Z188" s="18">
        <f>+IFERROR(VLOOKUP(A188,[1]Hoja1!$D:$E,2,0),0)</f>
        <v>22</v>
      </c>
      <c r="AA188" s="18">
        <f t="shared" si="67"/>
        <v>482</v>
      </c>
      <c r="AB188" s="18">
        <f t="shared" si="67"/>
        <v>62</v>
      </c>
      <c r="AC188">
        <f t="shared" si="68"/>
        <v>1</v>
      </c>
      <c r="AD188">
        <f t="shared" si="69"/>
        <v>0</v>
      </c>
      <c r="AE188">
        <f t="shared" si="70"/>
        <v>0</v>
      </c>
      <c r="AF188" s="17">
        <f t="shared" si="81"/>
        <v>1.0717185385656292</v>
      </c>
      <c r="AG188" s="17">
        <f t="shared" si="71"/>
        <v>1.3062330623306233</v>
      </c>
      <c r="AH188" s="18">
        <f t="shared" si="72"/>
        <v>917</v>
      </c>
      <c r="AI188" s="18">
        <f t="shared" si="72"/>
        <v>118</v>
      </c>
      <c r="AJ188">
        <f t="shared" si="73"/>
        <v>1</v>
      </c>
      <c r="AK188">
        <f t="shared" si="74"/>
        <v>0</v>
      </c>
      <c r="AL188">
        <f t="shared" si="75"/>
        <v>0</v>
      </c>
      <c r="AM188" s="17">
        <f t="shared" si="76"/>
        <v>1.0710732054015637</v>
      </c>
      <c r="AN188" s="17">
        <f t="shared" si="77"/>
        <v>1.3062678062678064</v>
      </c>
      <c r="AO188" s="18" t="str">
        <f>+IFERROR(VLOOKUP(A188,[2]Rank!$B:$E,4,0),"No Ganador")</f>
        <v>No Ganador</v>
      </c>
      <c r="AP188" s="18">
        <f>+VLOOKUP(D188,[2]Departamento!$A$1:$B$16,2,0)</f>
        <v>6</v>
      </c>
      <c r="AQ188">
        <f t="shared" si="78"/>
        <v>0</v>
      </c>
    </row>
    <row r="189" spans="1:43" x14ac:dyDescent="0.3">
      <c r="A189" t="s">
        <v>443</v>
      </c>
      <c r="B189" t="s">
        <v>444</v>
      </c>
      <c r="C189" t="s">
        <v>43</v>
      </c>
      <c r="D189" t="s">
        <v>44</v>
      </c>
      <c r="E189" s="10" t="s">
        <v>45</v>
      </c>
      <c r="F189" s="10" t="s">
        <v>63</v>
      </c>
      <c r="G189" s="11">
        <v>269</v>
      </c>
      <c r="H189" s="12">
        <v>367.77272727272725</v>
      </c>
      <c r="I189" s="12">
        <f t="shared" si="56"/>
        <v>367.77272727272725</v>
      </c>
      <c r="J189" s="13">
        <f t="shared" si="79"/>
        <v>441</v>
      </c>
      <c r="K189" s="14">
        <f t="shared" si="57"/>
        <v>398</v>
      </c>
      <c r="L189" s="15">
        <v>22</v>
      </c>
      <c r="M189" s="12">
        <v>19.727272727272727</v>
      </c>
      <c r="N189" s="12">
        <f t="shared" si="58"/>
        <v>22</v>
      </c>
      <c r="O189" s="13">
        <v>26</v>
      </c>
      <c r="P189" s="16">
        <f t="shared" si="80"/>
        <v>23</v>
      </c>
      <c r="Q189" s="15">
        <f t="shared" si="59"/>
        <v>73.227272727272748</v>
      </c>
      <c r="R189" s="12">
        <f t="shared" si="60"/>
        <v>30.227272727272748</v>
      </c>
      <c r="S189" s="12">
        <f t="shared" si="61"/>
        <v>6.2727272727272734</v>
      </c>
      <c r="T189" s="12">
        <f t="shared" si="62"/>
        <v>3.2727272727272734</v>
      </c>
      <c r="U189" s="17">
        <f t="shared" si="63"/>
        <v>0.19911012235817571</v>
      </c>
      <c r="V189" s="17">
        <f t="shared" si="64"/>
        <v>8.2190087751823127E-2</v>
      </c>
      <c r="W189" s="17">
        <f t="shared" si="65"/>
        <v>0.31797235023041481</v>
      </c>
      <c r="X189" s="17">
        <f t="shared" si="66"/>
        <v>0.16589861751152069</v>
      </c>
      <c r="Y189" s="18">
        <f>+IFERROR(VLOOKUP(A189,[1]Hoja1!$A:$B,2,0),0)</f>
        <v>190</v>
      </c>
      <c r="Z189" s="18">
        <f>+IFERROR(VLOOKUP(A189,[1]Hoja1!$D:$E,2,0),0)</f>
        <v>16</v>
      </c>
      <c r="AA189" s="18">
        <f t="shared" si="67"/>
        <v>535</v>
      </c>
      <c r="AB189" s="18">
        <f t="shared" si="67"/>
        <v>45</v>
      </c>
      <c r="AC189">
        <f t="shared" si="68"/>
        <v>1</v>
      </c>
      <c r="AD189">
        <f t="shared" si="69"/>
        <v>1</v>
      </c>
      <c r="AE189">
        <f t="shared" si="70"/>
        <v>1</v>
      </c>
      <c r="AF189" s="17">
        <f t="shared" si="81"/>
        <v>1.3309982486865148</v>
      </c>
      <c r="AG189" s="17">
        <f t="shared" si="71"/>
        <v>1.2131519274376417</v>
      </c>
      <c r="AH189" s="18">
        <f t="shared" si="72"/>
        <v>1019</v>
      </c>
      <c r="AI189" s="18">
        <f t="shared" si="72"/>
        <v>86</v>
      </c>
      <c r="AJ189">
        <f t="shared" si="73"/>
        <v>1</v>
      </c>
      <c r="AK189">
        <f t="shared" si="74"/>
        <v>1</v>
      </c>
      <c r="AL189">
        <f t="shared" si="75"/>
        <v>1</v>
      </c>
      <c r="AM189" s="17">
        <f t="shared" si="76"/>
        <v>1.3367158671586716</v>
      </c>
      <c r="AN189" s="17">
        <f t="shared" si="77"/>
        <v>1.2145411203814065</v>
      </c>
      <c r="AO189" s="18">
        <f>+IFERROR(VLOOKUP(A189,[2]Rank!$B:$E,4,0),"No Ganador")</f>
        <v>10</v>
      </c>
      <c r="AP189" s="18">
        <f>+VLOOKUP(D189,[2]Departamento!$A$1:$B$16,2,0)</f>
        <v>6</v>
      </c>
      <c r="AQ189">
        <f t="shared" si="78"/>
        <v>0</v>
      </c>
    </row>
    <row r="190" spans="1:43" x14ac:dyDescent="0.3">
      <c r="A190" t="s">
        <v>445</v>
      </c>
      <c r="B190" t="s">
        <v>446</v>
      </c>
      <c r="C190" t="s">
        <v>43</v>
      </c>
      <c r="D190" t="s">
        <v>56</v>
      </c>
      <c r="E190" s="10" t="s">
        <v>57</v>
      </c>
      <c r="F190" s="10" t="s">
        <v>58</v>
      </c>
      <c r="G190" s="11">
        <v>141</v>
      </c>
      <c r="H190" s="12">
        <v>249.40909090909091</v>
      </c>
      <c r="I190" s="12">
        <f t="shared" si="56"/>
        <v>249.40909090909091</v>
      </c>
      <c r="J190" s="13">
        <f t="shared" si="79"/>
        <v>299</v>
      </c>
      <c r="K190" s="14">
        <f t="shared" si="57"/>
        <v>270</v>
      </c>
      <c r="L190" s="15">
        <v>2</v>
      </c>
      <c r="M190" s="12">
        <v>12.681818181818183</v>
      </c>
      <c r="N190" s="12">
        <f t="shared" si="58"/>
        <v>12.681818181818183</v>
      </c>
      <c r="O190" s="13">
        <v>15</v>
      </c>
      <c r="P190" s="16">
        <f t="shared" si="80"/>
        <v>14</v>
      </c>
      <c r="Q190" s="15">
        <f t="shared" si="59"/>
        <v>49.590909090909093</v>
      </c>
      <c r="R190" s="12">
        <f t="shared" si="60"/>
        <v>20.590909090909093</v>
      </c>
      <c r="S190" s="12">
        <f t="shared" si="61"/>
        <v>2.3181818181818166</v>
      </c>
      <c r="T190" s="12">
        <f t="shared" si="62"/>
        <v>1.3181818181818166</v>
      </c>
      <c r="U190" s="17">
        <f t="shared" si="63"/>
        <v>0.19883360670676153</v>
      </c>
      <c r="V190" s="17">
        <f t="shared" si="64"/>
        <v>8.255877528704203E-2</v>
      </c>
      <c r="W190" s="17">
        <f t="shared" si="65"/>
        <v>0.18279569892473102</v>
      </c>
      <c r="X190" s="17">
        <f t="shared" si="66"/>
        <v>0.10394265232974886</v>
      </c>
      <c r="Y190" s="18">
        <f>+IFERROR(VLOOKUP(A190,[1]Hoja1!$A:$B,2,0),0)</f>
        <v>106</v>
      </c>
      <c r="Z190" s="18">
        <f>+IFERROR(VLOOKUP(A190,[1]Hoja1!$D:$E,2,0),0)</f>
        <v>11</v>
      </c>
      <c r="AA190" s="18">
        <f t="shared" si="67"/>
        <v>299</v>
      </c>
      <c r="AB190" s="18">
        <f t="shared" si="67"/>
        <v>31</v>
      </c>
      <c r="AC190">
        <f t="shared" si="68"/>
        <v>1</v>
      </c>
      <c r="AD190">
        <f t="shared" si="69"/>
        <v>1</v>
      </c>
      <c r="AE190">
        <f t="shared" si="70"/>
        <v>1</v>
      </c>
      <c r="AF190" s="17">
        <f t="shared" si="81"/>
        <v>1.213903743315508</v>
      </c>
      <c r="AG190" s="17">
        <f t="shared" si="71"/>
        <v>1</v>
      </c>
      <c r="AH190" s="18">
        <f t="shared" si="72"/>
        <v>569</v>
      </c>
      <c r="AI190" s="18">
        <f t="shared" si="72"/>
        <v>59</v>
      </c>
      <c r="AJ190">
        <f t="shared" si="73"/>
        <v>1</v>
      </c>
      <c r="AK190">
        <f t="shared" si="74"/>
        <v>1</v>
      </c>
      <c r="AL190">
        <f t="shared" si="75"/>
        <v>1</v>
      </c>
      <c r="AM190" s="17">
        <f t="shared" si="76"/>
        <v>1.2100840336134453</v>
      </c>
      <c r="AN190" s="17">
        <f t="shared" si="77"/>
        <v>1</v>
      </c>
      <c r="AO190" s="18">
        <f>+IFERROR(VLOOKUP(A190,[2]Rank!$B:$E,4,0),"No Ganador")</f>
        <v>2</v>
      </c>
      <c r="AP190" s="18">
        <f>+VLOOKUP(D190,[2]Departamento!$A$1:$B$16,2,0)</f>
        <v>2</v>
      </c>
      <c r="AQ190">
        <f t="shared" si="78"/>
        <v>1</v>
      </c>
    </row>
    <row r="191" spans="1:43" x14ac:dyDescent="0.3">
      <c r="A191" t="s">
        <v>447</v>
      </c>
      <c r="B191" t="s">
        <v>448</v>
      </c>
      <c r="C191" t="s">
        <v>43</v>
      </c>
      <c r="D191" t="s">
        <v>56</v>
      </c>
      <c r="E191" s="10" t="s">
        <v>57</v>
      </c>
      <c r="F191" s="10" t="s">
        <v>58</v>
      </c>
      <c r="G191" s="11">
        <v>76</v>
      </c>
      <c r="H191" s="12">
        <v>180.36363636363637</v>
      </c>
      <c r="I191" s="12">
        <f t="shared" si="56"/>
        <v>180.36363636363637</v>
      </c>
      <c r="J191" s="13">
        <f t="shared" si="79"/>
        <v>216</v>
      </c>
      <c r="K191" s="14">
        <f t="shared" si="57"/>
        <v>195</v>
      </c>
      <c r="L191" s="15">
        <v>0</v>
      </c>
      <c r="M191" s="12">
        <v>1.4090909090909092</v>
      </c>
      <c r="N191" s="12">
        <f t="shared" si="58"/>
        <v>1.4090909090909092</v>
      </c>
      <c r="O191" s="13">
        <v>2</v>
      </c>
      <c r="P191" s="16">
        <f t="shared" si="80"/>
        <v>2</v>
      </c>
      <c r="Q191" s="15">
        <f t="shared" si="59"/>
        <v>35.636363636363626</v>
      </c>
      <c r="R191" s="12">
        <f t="shared" si="60"/>
        <v>14.636363636363626</v>
      </c>
      <c r="S191" s="12">
        <f t="shared" si="61"/>
        <v>0.59090909090909083</v>
      </c>
      <c r="T191" s="12">
        <f t="shared" si="62"/>
        <v>0.59090909090909083</v>
      </c>
      <c r="U191" s="17">
        <f t="shared" si="63"/>
        <v>0.19758064516129026</v>
      </c>
      <c r="V191" s="17">
        <f t="shared" si="64"/>
        <v>8.1149193548387011E-2</v>
      </c>
      <c r="W191" s="17">
        <f t="shared" si="65"/>
        <v>0.41935483870967727</v>
      </c>
      <c r="X191" s="17">
        <f t="shared" si="66"/>
        <v>0.41935483870967727</v>
      </c>
      <c r="Y191" s="18">
        <f>+IFERROR(VLOOKUP(A191,[1]Hoja1!$A:$B,2,0),0)</f>
        <v>64</v>
      </c>
      <c r="Z191" s="18">
        <f>+IFERROR(VLOOKUP(A191,[1]Hoja1!$D:$E,2,0),0)</f>
        <v>6</v>
      </c>
      <c r="AA191" s="18">
        <f t="shared" si="67"/>
        <v>180</v>
      </c>
      <c r="AB191" s="18">
        <f t="shared" si="67"/>
        <v>17</v>
      </c>
      <c r="AC191">
        <f t="shared" si="68"/>
        <v>0</v>
      </c>
      <c r="AD191">
        <f t="shared" si="69"/>
        <v>1</v>
      </c>
      <c r="AE191">
        <f t="shared" si="70"/>
        <v>0</v>
      </c>
      <c r="AF191" s="17">
        <f t="shared" si="81"/>
        <v>1.1725663716814159</v>
      </c>
      <c r="AG191" s="17">
        <f t="shared" si="71"/>
        <v>0.83333333333333337</v>
      </c>
      <c r="AH191" s="18">
        <f t="shared" si="72"/>
        <v>343</v>
      </c>
      <c r="AI191" s="18">
        <f t="shared" si="72"/>
        <v>32</v>
      </c>
      <c r="AJ191">
        <f t="shared" si="73"/>
        <v>0</v>
      </c>
      <c r="AK191">
        <f t="shared" si="74"/>
        <v>1</v>
      </c>
      <c r="AL191">
        <f t="shared" si="75"/>
        <v>0</v>
      </c>
      <c r="AM191" s="17">
        <f t="shared" si="76"/>
        <v>1.1670533642691416</v>
      </c>
      <c r="AN191" s="17">
        <f t="shared" si="77"/>
        <v>0.83454987834549876</v>
      </c>
      <c r="AO191" s="18" t="str">
        <f>+IFERROR(VLOOKUP(A191,[2]Rank!$B:$E,4,0),"No Ganador")</f>
        <v>No Ganador</v>
      </c>
      <c r="AP191" s="18">
        <f>+VLOOKUP(D191,[2]Departamento!$A$1:$B$16,2,0)</f>
        <v>2</v>
      </c>
      <c r="AQ191">
        <f t="shared" si="78"/>
        <v>0</v>
      </c>
    </row>
    <row r="192" spans="1:43" x14ac:dyDescent="0.3">
      <c r="A192" t="s">
        <v>449</v>
      </c>
      <c r="B192" t="s">
        <v>450</v>
      </c>
      <c r="C192" t="s">
        <v>43</v>
      </c>
      <c r="D192" t="s">
        <v>68</v>
      </c>
      <c r="E192" s="10" t="s">
        <v>69</v>
      </c>
      <c r="F192" s="10" t="s">
        <v>46</v>
      </c>
      <c r="G192" s="11">
        <v>223</v>
      </c>
      <c r="H192" s="12">
        <v>329.72727272727275</v>
      </c>
      <c r="I192" s="12">
        <f t="shared" si="56"/>
        <v>329.72727272727275</v>
      </c>
      <c r="J192" s="13">
        <f t="shared" si="79"/>
        <v>396</v>
      </c>
      <c r="K192" s="14">
        <f t="shared" si="57"/>
        <v>358</v>
      </c>
      <c r="L192" s="15">
        <v>11</v>
      </c>
      <c r="M192" s="12">
        <v>15.5</v>
      </c>
      <c r="N192" s="12">
        <f t="shared" si="58"/>
        <v>15.5</v>
      </c>
      <c r="O192" s="13">
        <v>19</v>
      </c>
      <c r="P192" s="16">
        <f t="shared" si="80"/>
        <v>17</v>
      </c>
      <c r="Q192" s="15">
        <f t="shared" si="59"/>
        <v>66.272727272727252</v>
      </c>
      <c r="R192" s="12">
        <f t="shared" si="60"/>
        <v>28.272727272727252</v>
      </c>
      <c r="S192" s="12">
        <f t="shared" si="61"/>
        <v>3.5</v>
      </c>
      <c r="T192" s="12">
        <f t="shared" si="62"/>
        <v>1.5</v>
      </c>
      <c r="U192" s="17">
        <f t="shared" si="63"/>
        <v>0.20099255583126552</v>
      </c>
      <c r="V192" s="17">
        <f t="shared" si="64"/>
        <v>8.574579542321481E-2</v>
      </c>
      <c r="W192" s="17">
        <f t="shared" si="65"/>
        <v>0.22580645161290325</v>
      </c>
      <c r="X192" s="17">
        <f t="shared" si="66"/>
        <v>9.6774193548387011E-2</v>
      </c>
      <c r="Y192" s="18">
        <f>+IFERROR(VLOOKUP(A192,[1]Hoja1!$A:$B,2,0),0)</f>
        <v>144</v>
      </c>
      <c r="Z192" s="18">
        <f>+IFERROR(VLOOKUP(A192,[1]Hoja1!$D:$E,2,0),0)</f>
        <v>12</v>
      </c>
      <c r="AA192" s="18">
        <f t="shared" si="67"/>
        <v>406</v>
      </c>
      <c r="AB192" s="18">
        <f t="shared" si="67"/>
        <v>34</v>
      </c>
      <c r="AC192">
        <f t="shared" si="68"/>
        <v>1</v>
      </c>
      <c r="AD192">
        <f t="shared" si="69"/>
        <v>1</v>
      </c>
      <c r="AE192">
        <f t="shared" si="70"/>
        <v>1</v>
      </c>
      <c r="AF192" s="17">
        <f t="shared" si="81"/>
        <v>1.1731160896130346</v>
      </c>
      <c r="AG192" s="17">
        <f t="shared" si="71"/>
        <v>1.0252525252525253</v>
      </c>
      <c r="AH192" s="18">
        <f t="shared" si="72"/>
        <v>772</v>
      </c>
      <c r="AI192" s="18">
        <f t="shared" si="72"/>
        <v>64</v>
      </c>
      <c r="AJ192">
        <f t="shared" si="73"/>
        <v>1</v>
      </c>
      <c r="AK192">
        <f t="shared" si="74"/>
        <v>1</v>
      </c>
      <c r="AL192">
        <f t="shared" si="75"/>
        <v>1</v>
      </c>
      <c r="AM192" s="17">
        <f t="shared" si="76"/>
        <v>1.1691648822269807</v>
      </c>
      <c r="AN192" s="17">
        <f t="shared" si="77"/>
        <v>1.0238726790450929</v>
      </c>
      <c r="AO192" s="18">
        <f>+IFERROR(VLOOKUP(A192,[2]Rank!$B:$E,4,0),"No Ganador")</f>
        <v>2</v>
      </c>
      <c r="AP192" s="18">
        <f>+VLOOKUP(D192,[2]Departamento!$A$1:$B$16,2,0)</f>
        <v>2</v>
      </c>
      <c r="AQ192">
        <f t="shared" si="78"/>
        <v>1</v>
      </c>
    </row>
    <row r="193" spans="1:43" x14ac:dyDescent="0.3">
      <c r="A193" t="s">
        <v>451</v>
      </c>
      <c r="B193" t="s">
        <v>452</v>
      </c>
      <c r="C193" t="s">
        <v>43</v>
      </c>
      <c r="D193" t="s">
        <v>110</v>
      </c>
      <c r="E193" s="10" t="s">
        <v>50</v>
      </c>
      <c r="F193" s="10" t="s">
        <v>51</v>
      </c>
      <c r="G193" s="11">
        <v>208</v>
      </c>
      <c r="H193" s="12">
        <v>329.72727272727275</v>
      </c>
      <c r="I193" s="12">
        <f t="shared" si="56"/>
        <v>329.72727272727275</v>
      </c>
      <c r="J193" s="13">
        <f t="shared" si="79"/>
        <v>396</v>
      </c>
      <c r="K193" s="14">
        <f t="shared" si="57"/>
        <v>358</v>
      </c>
      <c r="L193" s="15">
        <v>0</v>
      </c>
      <c r="M193" s="12">
        <v>5.6363636363636367</v>
      </c>
      <c r="N193" s="12">
        <f t="shared" si="58"/>
        <v>5.6363636363636367</v>
      </c>
      <c r="O193" s="13">
        <v>7</v>
      </c>
      <c r="P193" s="16">
        <f t="shared" si="80"/>
        <v>6</v>
      </c>
      <c r="Q193" s="15">
        <f t="shared" si="59"/>
        <v>66.272727272727252</v>
      </c>
      <c r="R193" s="12">
        <f t="shared" si="60"/>
        <v>28.272727272727252</v>
      </c>
      <c r="S193" s="12">
        <f t="shared" si="61"/>
        <v>1.3636363636363633</v>
      </c>
      <c r="T193" s="12">
        <f t="shared" si="62"/>
        <v>0.36363636363636331</v>
      </c>
      <c r="U193" s="17">
        <f t="shared" si="63"/>
        <v>0.20099255583126552</v>
      </c>
      <c r="V193" s="17">
        <f t="shared" si="64"/>
        <v>8.574579542321481E-2</v>
      </c>
      <c r="W193" s="17">
        <f t="shared" si="65"/>
        <v>0.24193548387096775</v>
      </c>
      <c r="X193" s="17">
        <f t="shared" si="66"/>
        <v>6.4516129032258007E-2</v>
      </c>
      <c r="Y193" s="18">
        <f>+IFERROR(VLOOKUP(A193,[1]Hoja1!$A:$B,2,0),0)</f>
        <v>70</v>
      </c>
      <c r="Z193" s="18">
        <f>+IFERROR(VLOOKUP(A193,[1]Hoja1!$D:$E,2,0),0)</f>
        <v>2</v>
      </c>
      <c r="AA193" s="18">
        <f t="shared" si="67"/>
        <v>197</v>
      </c>
      <c r="AB193" s="18">
        <f t="shared" si="67"/>
        <v>6</v>
      </c>
      <c r="AC193">
        <f t="shared" si="68"/>
        <v>0</v>
      </c>
      <c r="AD193">
        <f t="shared" si="69"/>
        <v>0</v>
      </c>
      <c r="AE193">
        <f t="shared" si="70"/>
        <v>0</v>
      </c>
      <c r="AF193" s="17">
        <f t="shared" si="81"/>
        <v>0.52668213457076563</v>
      </c>
      <c r="AG193" s="17">
        <f t="shared" si="71"/>
        <v>0.49747474747474746</v>
      </c>
      <c r="AH193" s="18">
        <f t="shared" si="72"/>
        <v>375</v>
      </c>
      <c r="AI193" s="18">
        <f t="shared" si="72"/>
        <v>11</v>
      </c>
      <c r="AJ193">
        <f t="shared" si="73"/>
        <v>0</v>
      </c>
      <c r="AK193">
        <f t="shared" si="74"/>
        <v>0</v>
      </c>
      <c r="AL193">
        <f t="shared" si="75"/>
        <v>0</v>
      </c>
      <c r="AM193" s="17">
        <f t="shared" si="76"/>
        <v>0.52503052503052505</v>
      </c>
      <c r="AN193" s="17">
        <f t="shared" si="77"/>
        <v>0.4973474801061008</v>
      </c>
      <c r="AO193" s="18" t="str">
        <f>+IFERROR(VLOOKUP(A193,[2]Rank!$B:$E,4,0),"No Ganador")</f>
        <v>No Ganador</v>
      </c>
      <c r="AP193" s="18">
        <f>+VLOOKUP(D193,[2]Departamento!$A$1:$B$16,2,0)</f>
        <v>1</v>
      </c>
      <c r="AQ193">
        <f t="shared" si="78"/>
        <v>0</v>
      </c>
    </row>
    <row r="194" spans="1:43" x14ac:dyDescent="0.3">
      <c r="A194" t="s">
        <v>453</v>
      </c>
      <c r="B194" t="s">
        <v>454</v>
      </c>
      <c r="C194" t="s">
        <v>43</v>
      </c>
      <c r="D194" t="s">
        <v>68</v>
      </c>
      <c r="E194" s="10" t="s">
        <v>69</v>
      </c>
      <c r="F194" s="10" t="s">
        <v>46</v>
      </c>
      <c r="G194" s="11">
        <v>159</v>
      </c>
      <c r="H194" s="12">
        <v>270.5454545454545</v>
      </c>
      <c r="I194" s="12">
        <f t="shared" ref="I194:I212" si="82">MAX(H194,G194)</f>
        <v>270.5454545454545</v>
      </c>
      <c r="J194" s="13">
        <f t="shared" si="79"/>
        <v>325</v>
      </c>
      <c r="K194" s="14">
        <f t="shared" ref="K194:K212" si="83">ROUND(J194/31*28,0)</f>
        <v>294</v>
      </c>
      <c r="L194" s="15">
        <v>1</v>
      </c>
      <c r="M194" s="12">
        <v>2.8181818181818183</v>
      </c>
      <c r="N194" s="12">
        <f t="shared" ref="N194:N212" si="84">MAX(M194,L194)</f>
        <v>2.8181818181818183</v>
      </c>
      <c r="O194" s="13">
        <v>4</v>
      </c>
      <c r="P194" s="16">
        <f t="shared" si="80"/>
        <v>4</v>
      </c>
      <c r="Q194" s="15">
        <f t="shared" ref="Q194:Q212" si="85">J194-H194</f>
        <v>54.454545454545496</v>
      </c>
      <c r="R194" s="12">
        <f t="shared" ref="R194:R212" si="86">K194-H194</f>
        <v>23.454545454545496</v>
      </c>
      <c r="S194" s="12">
        <f t="shared" ref="S194:S212" si="87">O194-M194</f>
        <v>1.1818181818181817</v>
      </c>
      <c r="T194" s="12">
        <f t="shared" ref="T194:T212" si="88">P194-M194</f>
        <v>1.1818181818181817</v>
      </c>
      <c r="U194" s="17">
        <f t="shared" ref="U194:U212" si="89">(J194/H194)-1</f>
        <v>0.20127688172043023</v>
      </c>
      <c r="V194" s="17">
        <f t="shared" ref="V194:V212" si="90">(K194/H194)-1</f>
        <v>8.6693548387096975E-2</v>
      </c>
      <c r="W194" s="17">
        <f t="shared" ref="W194:W212" si="91">IFERROR((O194/M194)-1,"-")</f>
        <v>0.41935483870967727</v>
      </c>
      <c r="X194" s="17">
        <f t="shared" ref="X194:X212" si="92">IFERROR((P194/M194)-1,0)</f>
        <v>0.41935483870967727</v>
      </c>
      <c r="Y194" s="18">
        <f>+IFERROR(VLOOKUP(A194,[1]Hoja1!$A:$B,2,0),0)</f>
        <v>80</v>
      </c>
      <c r="Z194" s="18">
        <f>+IFERROR(VLOOKUP(A194,[1]Hoja1!$D:$E,2,0),0)</f>
        <v>2</v>
      </c>
      <c r="AA194" s="18">
        <f t="shared" si="67"/>
        <v>225</v>
      </c>
      <c r="AB194" s="18">
        <f t="shared" si="67"/>
        <v>6</v>
      </c>
      <c r="AC194">
        <f t="shared" si="68"/>
        <v>0</v>
      </c>
      <c r="AD194">
        <f t="shared" si="69"/>
        <v>1</v>
      </c>
      <c r="AE194">
        <f t="shared" si="70"/>
        <v>0</v>
      </c>
      <c r="AF194" s="17">
        <f t="shared" si="81"/>
        <v>0.73913043478260865</v>
      </c>
      <c r="AG194" s="17">
        <f t="shared" si="71"/>
        <v>0.69230769230769229</v>
      </c>
      <c r="AH194" s="18">
        <f t="shared" si="72"/>
        <v>429</v>
      </c>
      <c r="AI194" s="18">
        <f t="shared" si="72"/>
        <v>11</v>
      </c>
      <c r="AJ194">
        <f t="shared" si="73"/>
        <v>0</v>
      </c>
      <c r="AK194">
        <f t="shared" si="74"/>
        <v>1</v>
      </c>
      <c r="AL194">
        <f t="shared" si="75"/>
        <v>0</v>
      </c>
      <c r="AM194" s="17">
        <f t="shared" si="76"/>
        <v>0.73444613050075869</v>
      </c>
      <c r="AN194" s="17">
        <f t="shared" si="77"/>
        <v>0.69305331179321483</v>
      </c>
      <c r="AO194" s="18" t="str">
        <f>+IFERROR(VLOOKUP(A194,[2]Rank!$B:$E,4,0),"No Ganador")</f>
        <v>No Ganador</v>
      </c>
      <c r="AP194" s="18">
        <f>+VLOOKUP(D194,[2]Departamento!$A$1:$B$16,2,0)</f>
        <v>2</v>
      </c>
      <c r="AQ194">
        <f t="shared" si="78"/>
        <v>0</v>
      </c>
    </row>
    <row r="195" spans="1:43" x14ac:dyDescent="0.3">
      <c r="A195" t="s">
        <v>455</v>
      </c>
      <c r="B195" t="s">
        <v>456</v>
      </c>
      <c r="C195" t="s">
        <v>43</v>
      </c>
      <c r="D195" t="s">
        <v>159</v>
      </c>
      <c r="E195" s="10" t="s">
        <v>57</v>
      </c>
      <c r="F195" s="10" t="s">
        <v>51</v>
      </c>
      <c r="G195" s="11">
        <v>340</v>
      </c>
      <c r="H195" s="12">
        <v>455.13636363636363</v>
      </c>
      <c r="I195" s="12">
        <f t="shared" si="82"/>
        <v>455.13636363636363</v>
      </c>
      <c r="J195" s="13">
        <f t="shared" si="79"/>
        <v>546</v>
      </c>
      <c r="K195" s="14">
        <f t="shared" si="83"/>
        <v>493</v>
      </c>
      <c r="L195" s="15">
        <v>1</v>
      </c>
      <c r="M195" s="12">
        <v>7.045454545454545</v>
      </c>
      <c r="N195" s="12">
        <f t="shared" si="84"/>
        <v>7.045454545454545</v>
      </c>
      <c r="O195" s="13">
        <v>8</v>
      </c>
      <c r="P195" s="16">
        <f t="shared" si="80"/>
        <v>7</v>
      </c>
      <c r="Q195" s="15">
        <f t="shared" si="85"/>
        <v>90.863636363636374</v>
      </c>
      <c r="R195" s="12">
        <f t="shared" si="86"/>
        <v>37.863636363636374</v>
      </c>
      <c r="S195" s="12">
        <f t="shared" si="87"/>
        <v>0.95454545454545503</v>
      </c>
      <c r="T195" s="12">
        <f t="shared" si="88"/>
        <v>-4.545454545454497E-2</v>
      </c>
      <c r="U195" s="17">
        <f t="shared" si="89"/>
        <v>0.19964046739238994</v>
      </c>
      <c r="V195" s="17">
        <f t="shared" si="90"/>
        <v>8.3191850594227512E-2</v>
      </c>
      <c r="W195" s="17">
        <f t="shared" si="91"/>
        <v>0.13548387096774195</v>
      </c>
      <c r="X195" s="17">
        <f t="shared" si="92"/>
        <v>-6.4516129032257119E-3</v>
      </c>
      <c r="Y195" s="18">
        <f>+IFERROR(VLOOKUP(A195,[1]Hoja1!$A:$B,2,0),0)</f>
        <v>129</v>
      </c>
      <c r="Z195" s="18">
        <f>+IFERROR(VLOOKUP(A195,[1]Hoja1!$D:$E,2,0),0)</f>
        <v>7</v>
      </c>
      <c r="AA195" s="18">
        <f t="shared" ref="AA195:AB212" si="93">+ROUND((Y195*31)/11,0)</f>
        <v>364</v>
      </c>
      <c r="AB195" s="18">
        <f t="shared" si="93"/>
        <v>20</v>
      </c>
      <c r="AC195">
        <f t="shared" ref="AC195:AC212" si="94">+IF(AA195&gt;=J195,1,0)</f>
        <v>0</v>
      </c>
      <c r="AD195">
        <f t="shared" ref="AD195:AD212" si="95">+IF(AB195&gt;=O195,1,0)</f>
        <v>1</v>
      </c>
      <c r="AE195">
        <f t="shared" ref="AE195:AE212" si="96">+IF(AC195+AD195=2,1,0)</f>
        <v>0</v>
      </c>
      <c r="AF195" s="17">
        <f t="shared" si="81"/>
        <v>0.79180887372013653</v>
      </c>
      <c r="AG195" s="17">
        <f t="shared" ref="AG195:AG212" si="97">+AA195/J195</f>
        <v>0.66666666666666663</v>
      </c>
      <c r="AH195" s="18">
        <f t="shared" ref="AH195:AI212" si="98">+ROUND((Y195*59)/11,0)</f>
        <v>692</v>
      </c>
      <c r="AI195" s="18">
        <f t="shared" si="98"/>
        <v>38</v>
      </c>
      <c r="AJ195">
        <f t="shared" ref="AJ195:AJ212" si="99">+IF(AH195&gt;=(J195+K195),1,0)</f>
        <v>0</v>
      </c>
      <c r="AK195">
        <f t="shared" ref="AK195:AK212" si="100">+IF(AI195&gt;=(O195+P195),1,0)</f>
        <v>1</v>
      </c>
      <c r="AL195">
        <f t="shared" ref="AL195:AL212" si="101">+IF(AJ195+AK195=2,1,0)</f>
        <v>0</v>
      </c>
      <c r="AM195" s="17">
        <f t="shared" ref="AM195:AM212" si="102">+(AH195+(5*AI195))/((J195+K195)+(5*(O195+P195)))</f>
        <v>0.79174147217235191</v>
      </c>
      <c r="AN195" s="17">
        <f t="shared" ref="AN195:AN212" si="103">+AH195/(J195+K195)</f>
        <v>0.66602502406159769</v>
      </c>
      <c r="AO195" s="18" t="str">
        <f>+IFERROR(VLOOKUP(A195,[2]Rank!$B:$E,4,0),"No Ganador")</f>
        <v>No Ganador</v>
      </c>
      <c r="AP195" s="18">
        <f>+VLOOKUP(D195,[2]Departamento!$A$1:$B$16,2,0)</f>
        <v>2</v>
      </c>
      <c r="AQ195">
        <f t="shared" ref="AQ195:AQ212" si="104">+IFERROR(IF(AO195&gt;AP195,0,1),0)</f>
        <v>0</v>
      </c>
    </row>
    <row r="196" spans="1:43" x14ac:dyDescent="0.3">
      <c r="A196" t="s">
        <v>457</v>
      </c>
      <c r="B196" t="s">
        <v>458</v>
      </c>
      <c r="C196" t="s">
        <v>43</v>
      </c>
      <c r="D196" t="s">
        <v>90</v>
      </c>
      <c r="E196" s="10" t="s">
        <v>69</v>
      </c>
      <c r="F196" s="10" t="s">
        <v>75</v>
      </c>
      <c r="G196" s="11">
        <v>88</v>
      </c>
      <c r="H196" s="12">
        <v>205.72727272727275</v>
      </c>
      <c r="I196" s="12">
        <f t="shared" si="82"/>
        <v>205.72727272727275</v>
      </c>
      <c r="J196" s="13">
        <f t="shared" si="79"/>
        <v>247</v>
      </c>
      <c r="K196" s="14">
        <f t="shared" si="83"/>
        <v>223</v>
      </c>
      <c r="L196" s="15">
        <v>4</v>
      </c>
      <c r="M196" s="12">
        <v>18.31818181818182</v>
      </c>
      <c r="N196" s="12">
        <f t="shared" si="84"/>
        <v>18.31818181818182</v>
      </c>
      <c r="O196" s="13">
        <v>22</v>
      </c>
      <c r="P196" s="16">
        <f t="shared" si="80"/>
        <v>20</v>
      </c>
      <c r="Q196" s="15">
        <f t="shared" si="85"/>
        <v>41.272727272727252</v>
      </c>
      <c r="R196" s="12">
        <f t="shared" si="86"/>
        <v>17.272727272727252</v>
      </c>
      <c r="S196" s="12">
        <f t="shared" si="87"/>
        <v>3.6818181818181799</v>
      </c>
      <c r="T196" s="12">
        <f t="shared" si="88"/>
        <v>1.6818181818181799</v>
      </c>
      <c r="U196" s="17">
        <f t="shared" si="89"/>
        <v>0.20061864781263794</v>
      </c>
      <c r="V196" s="17">
        <f t="shared" si="90"/>
        <v>8.3959346000883617E-2</v>
      </c>
      <c r="W196" s="17">
        <f t="shared" si="91"/>
        <v>0.2009925558312653</v>
      </c>
      <c r="X196" s="17">
        <f t="shared" si="92"/>
        <v>9.1811414392059421E-2</v>
      </c>
      <c r="Y196" s="18">
        <f>+IFERROR(VLOOKUP(A196,[1]Hoja1!$A:$B,2,0),0)</f>
        <v>85</v>
      </c>
      <c r="Z196" s="18">
        <f>+IFERROR(VLOOKUP(A196,[1]Hoja1!$D:$E,2,0),0)</f>
        <v>10</v>
      </c>
      <c r="AA196" s="18">
        <f t="shared" si="93"/>
        <v>240</v>
      </c>
      <c r="AB196" s="18">
        <f t="shared" si="93"/>
        <v>28</v>
      </c>
      <c r="AC196">
        <f t="shared" si="94"/>
        <v>0</v>
      </c>
      <c r="AD196">
        <f t="shared" si="95"/>
        <v>1</v>
      </c>
      <c r="AE196">
        <f t="shared" si="96"/>
        <v>0</v>
      </c>
      <c r="AF196" s="17">
        <f t="shared" si="81"/>
        <v>1.0644257703081232</v>
      </c>
      <c r="AG196" s="17">
        <f t="shared" si="97"/>
        <v>0.97165991902834004</v>
      </c>
      <c r="AH196" s="18">
        <f t="shared" si="98"/>
        <v>456</v>
      </c>
      <c r="AI196" s="18">
        <f t="shared" si="98"/>
        <v>54</v>
      </c>
      <c r="AJ196">
        <f t="shared" si="99"/>
        <v>0</v>
      </c>
      <c r="AK196">
        <f t="shared" si="100"/>
        <v>1</v>
      </c>
      <c r="AL196">
        <f t="shared" si="101"/>
        <v>0</v>
      </c>
      <c r="AM196" s="17">
        <f t="shared" si="102"/>
        <v>1.0676470588235294</v>
      </c>
      <c r="AN196" s="17">
        <f t="shared" si="103"/>
        <v>0.97021276595744677</v>
      </c>
      <c r="AO196" s="18" t="str">
        <f>+IFERROR(VLOOKUP(A196,[2]Rank!$B:$E,4,0),"No Ganador")</f>
        <v>No Ganador</v>
      </c>
      <c r="AP196" s="18">
        <f>+VLOOKUP(D196,[2]Departamento!$A$1:$B$16,2,0)</f>
        <v>2</v>
      </c>
      <c r="AQ196">
        <f t="shared" si="104"/>
        <v>0</v>
      </c>
    </row>
    <row r="197" spans="1:43" x14ac:dyDescent="0.3">
      <c r="A197" t="s">
        <v>459</v>
      </c>
      <c r="B197" t="s">
        <v>460</v>
      </c>
      <c r="C197" t="s">
        <v>43</v>
      </c>
      <c r="D197" t="s">
        <v>44</v>
      </c>
      <c r="E197" s="10" t="s">
        <v>45</v>
      </c>
      <c r="F197" s="10" t="s">
        <v>63</v>
      </c>
      <c r="G197" s="11">
        <v>273</v>
      </c>
      <c r="H197" s="12">
        <v>391.72727272727275</v>
      </c>
      <c r="I197" s="12">
        <f t="shared" si="82"/>
        <v>391.72727272727275</v>
      </c>
      <c r="J197" s="13">
        <f t="shared" si="79"/>
        <v>470</v>
      </c>
      <c r="K197" s="14">
        <f t="shared" si="83"/>
        <v>425</v>
      </c>
      <c r="L197" s="15">
        <v>13</v>
      </c>
      <c r="M197" s="12">
        <v>36.63636363636364</v>
      </c>
      <c r="N197" s="12">
        <f t="shared" si="84"/>
        <v>36.63636363636364</v>
      </c>
      <c r="O197" s="13">
        <v>44</v>
      </c>
      <c r="P197" s="16">
        <f t="shared" si="80"/>
        <v>40</v>
      </c>
      <c r="Q197" s="15">
        <f t="shared" si="85"/>
        <v>78.272727272727252</v>
      </c>
      <c r="R197" s="12">
        <f t="shared" si="86"/>
        <v>33.272727272727252</v>
      </c>
      <c r="S197" s="12">
        <f t="shared" si="87"/>
        <v>7.3636363636363598</v>
      </c>
      <c r="T197" s="12">
        <f t="shared" si="88"/>
        <v>3.3636363636363598</v>
      </c>
      <c r="U197" s="17">
        <f t="shared" si="89"/>
        <v>0.19981434207472715</v>
      </c>
      <c r="V197" s="17">
        <f t="shared" si="90"/>
        <v>8.4938500812253404E-2</v>
      </c>
      <c r="W197" s="17">
        <f t="shared" si="91"/>
        <v>0.2009925558312653</v>
      </c>
      <c r="X197" s="17">
        <f t="shared" si="92"/>
        <v>9.1811414392059421E-2</v>
      </c>
      <c r="Y197" s="18">
        <f>+IFERROR(VLOOKUP(A197,[1]Hoja1!$A:$B,2,0),0)</f>
        <v>217</v>
      </c>
      <c r="Z197" s="18">
        <f>+IFERROR(VLOOKUP(A197,[1]Hoja1!$D:$E,2,0),0)</f>
        <v>14</v>
      </c>
      <c r="AA197" s="18">
        <f t="shared" si="93"/>
        <v>612</v>
      </c>
      <c r="AB197" s="18">
        <f t="shared" si="93"/>
        <v>39</v>
      </c>
      <c r="AC197">
        <f t="shared" si="94"/>
        <v>1</v>
      </c>
      <c r="AD197">
        <f t="shared" si="95"/>
        <v>0</v>
      </c>
      <c r="AE197">
        <f t="shared" si="96"/>
        <v>0</v>
      </c>
      <c r="AF197" s="17">
        <f t="shared" si="81"/>
        <v>1.1695652173913043</v>
      </c>
      <c r="AG197" s="17">
        <f t="shared" si="97"/>
        <v>1.3021276595744682</v>
      </c>
      <c r="AH197" s="18">
        <f t="shared" si="98"/>
        <v>1164</v>
      </c>
      <c r="AI197" s="18">
        <f t="shared" si="98"/>
        <v>75</v>
      </c>
      <c r="AJ197">
        <f t="shared" si="99"/>
        <v>1</v>
      </c>
      <c r="AK197">
        <f t="shared" si="100"/>
        <v>0</v>
      </c>
      <c r="AL197">
        <f t="shared" si="101"/>
        <v>0</v>
      </c>
      <c r="AM197" s="17">
        <f t="shared" si="102"/>
        <v>1.170342205323194</v>
      </c>
      <c r="AN197" s="17">
        <f t="shared" si="103"/>
        <v>1.3005586592178771</v>
      </c>
      <c r="AO197" s="18" t="str">
        <f>+IFERROR(VLOOKUP(A197,[2]Rank!$B:$E,4,0),"No Ganador")</f>
        <v>No Ganador</v>
      </c>
      <c r="AP197" s="18">
        <f>+VLOOKUP(D197,[2]Departamento!$A$1:$B$16,2,0)</f>
        <v>6</v>
      </c>
      <c r="AQ197">
        <f t="shared" si="104"/>
        <v>0</v>
      </c>
    </row>
    <row r="198" spans="1:43" x14ac:dyDescent="0.3">
      <c r="A198" t="s">
        <v>461</v>
      </c>
      <c r="B198" t="s">
        <v>462</v>
      </c>
      <c r="C198" t="s">
        <v>43</v>
      </c>
      <c r="D198" t="s">
        <v>44</v>
      </c>
      <c r="E198" s="10" t="s">
        <v>45</v>
      </c>
      <c r="F198" s="10" t="s">
        <v>63</v>
      </c>
      <c r="G198" s="11">
        <v>248</v>
      </c>
      <c r="H198" s="12">
        <v>373.40909090909088</v>
      </c>
      <c r="I198" s="12">
        <f t="shared" si="82"/>
        <v>373.40909090909088</v>
      </c>
      <c r="J198" s="13">
        <f t="shared" si="79"/>
        <v>448</v>
      </c>
      <c r="K198" s="14">
        <f t="shared" si="83"/>
        <v>405</v>
      </c>
      <c r="L198" s="15">
        <v>2</v>
      </c>
      <c r="M198" s="12">
        <v>1.4090909090909092</v>
      </c>
      <c r="N198" s="12">
        <f t="shared" si="84"/>
        <v>2</v>
      </c>
      <c r="O198" s="13">
        <v>3</v>
      </c>
      <c r="P198" s="16">
        <v>3</v>
      </c>
      <c r="Q198" s="15">
        <f t="shared" si="85"/>
        <v>74.590909090909122</v>
      </c>
      <c r="R198" s="12">
        <f t="shared" si="86"/>
        <v>31.590909090909122</v>
      </c>
      <c r="S198" s="12">
        <f t="shared" si="87"/>
        <v>1.5909090909090908</v>
      </c>
      <c r="T198" s="12">
        <f t="shared" si="88"/>
        <v>1.5909090909090908</v>
      </c>
      <c r="U198" s="17">
        <f t="shared" si="89"/>
        <v>0.19975654290931244</v>
      </c>
      <c r="V198" s="17">
        <f t="shared" si="90"/>
        <v>8.46013390139988E-2</v>
      </c>
      <c r="W198" s="17">
        <f t="shared" si="91"/>
        <v>1.129032258064516</v>
      </c>
      <c r="X198" s="17">
        <f t="shared" si="92"/>
        <v>1.129032258064516</v>
      </c>
      <c r="Y198" s="18">
        <f>+IFERROR(VLOOKUP(A198,[1]Hoja1!$A:$B,2,0),0)</f>
        <v>194</v>
      </c>
      <c r="Z198" s="18">
        <f>+IFERROR(VLOOKUP(A198,[1]Hoja1!$D:$E,2,0),0)</f>
        <v>6</v>
      </c>
      <c r="AA198" s="18">
        <f t="shared" si="93"/>
        <v>547</v>
      </c>
      <c r="AB198" s="18">
        <f t="shared" si="93"/>
        <v>17</v>
      </c>
      <c r="AC198">
        <f t="shared" si="94"/>
        <v>1</v>
      </c>
      <c r="AD198">
        <f t="shared" si="95"/>
        <v>1</v>
      </c>
      <c r="AE198">
        <f t="shared" si="96"/>
        <v>1</v>
      </c>
      <c r="AF198" s="17">
        <f t="shared" si="81"/>
        <v>1.3650107991360692</v>
      </c>
      <c r="AG198" s="17">
        <f t="shared" si="97"/>
        <v>1.2209821428571428</v>
      </c>
      <c r="AH198" s="18">
        <f t="shared" si="98"/>
        <v>1041</v>
      </c>
      <c r="AI198" s="18">
        <f t="shared" si="98"/>
        <v>32</v>
      </c>
      <c r="AJ198">
        <f t="shared" si="99"/>
        <v>1</v>
      </c>
      <c r="AK198">
        <f t="shared" si="100"/>
        <v>1</v>
      </c>
      <c r="AL198">
        <f t="shared" si="101"/>
        <v>1</v>
      </c>
      <c r="AM198" s="17">
        <f t="shared" si="102"/>
        <v>1.3601359003397508</v>
      </c>
      <c r="AN198" s="17">
        <f t="shared" si="103"/>
        <v>1.2203985932004688</v>
      </c>
      <c r="AO198" s="18">
        <f>+IFERROR(VLOOKUP(A198,[2]Rank!$B:$E,4,0),"No Ganador")</f>
        <v>8</v>
      </c>
      <c r="AP198" s="18">
        <f>+VLOOKUP(D198,[2]Departamento!$A$1:$B$16,2,0)</f>
        <v>6</v>
      </c>
      <c r="AQ198">
        <f t="shared" si="104"/>
        <v>0</v>
      </c>
    </row>
    <row r="199" spans="1:43" x14ac:dyDescent="0.3">
      <c r="A199" t="s">
        <v>463</v>
      </c>
      <c r="B199" t="s">
        <v>464</v>
      </c>
      <c r="C199" t="s">
        <v>43</v>
      </c>
      <c r="D199" t="s">
        <v>182</v>
      </c>
      <c r="E199" s="10" t="s">
        <v>183</v>
      </c>
      <c r="F199" s="10" t="s">
        <v>51</v>
      </c>
      <c r="G199" s="11">
        <v>33</v>
      </c>
      <c r="H199" s="12">
        <v>163.45454545454544</v>
      </c>
      <c r="I199" s="12">
        <f t="shared" si="82"/>
        <v>163.45454545454544</v>
      </c>
      <c r="J199" s="13">
        <f t="shared" si="79"/>
        <v>196</v>
      </c>
      <c r="K199" s="14">
        <f t="shared" si="83"/>
        <v>177</v>
      </c>
      <c r="L199" s="15">
        <v>5</v>
      </c>
      <c r="M199" s="12">
        <v>12.681818181818183</v>
      </c>
      <c r="N199" s="12">
        <f t="shared" si="84"/>
        <v>12.681818181818183</v>
      </c>
      <c r="O199" s="13">
        <v>15</v>
      </c>
      <c r="P199" s="16">
        <f t="shared" si="80"/>
        <v>14</v>
      </c>
      <c r="Q199" s="15">
        <f t="shared" si="85"/>
        <v>32.545454545454561</v>
      </c>
      <c r="R199" s="12">
        <f t="shared" si="86"/>
        <v>13.545454545454561</v>
      </c>
      <c r="S199" s="12">
        <f t="shared" si="87"/>
        <v>2.3181818181818166</v>
      </c>
      <c r="T199" s="12">
        <f t="shared" si="88"/>
        <v>1.3181818181818166</v>
      </c>
      <c r="U199" s="17">
        <f t="shared" si="89"/>
        <v>0.19911012235817593</v>
      </c>
      <c r="V199" s="17">
        <f t="shared" si="90"/>
        <v>8.2869855394883229E-2</v>
      </c>
      <c r="W199" s="17">
        <f t="shared" si="91"/>
        <v>0.18279569892473102</v>
      </c>
      <c r="X199" s="17">
        <f t="shared" si="92"/>
        <v>0.10394265232974886</v>
      </c>
      <c r="Y199" s="18">
        <f>+IFERROR(VLOOKUP(A199,[1]Hoja1!$A:$B,2,0),0)</f>
        <v>19</v>
      </c>
      <c r="Z199" s="18">
        <f>+IFERROR(VLOOKUP(A199,[1]Hoja1!$D:$E,2,0),0)</f>
        <v>2</v>
      </c>
      <c r="AA199" s="18">
        <f t="shared" si="93"/>
        <v>54</v>
      </c>
      <c r="AB199" s="18">
        <f t="shared" si="93"/>
        <v>6</v>
      </c>
      <c r="AC199">
        <f t="shared" si="94"/>
        <v>0</v>
      </c>
      <c r="AD199">
        <f t="shared" si="95"/>
        <v>0</v>
      </c>
      <c r="AE199">
        <f t="shared" si="96"/>
        <v>0</v>
      </c>
      <c r="AF199" s="17">
        <f t="shared" si="81"/>
        <v>0.30996309963099633</v>
      </c>
      <c r="AG199" s="17">
        <f t="shared" si="97"/>
        <v>0.27551020408163263</v>
      </c>
      <c r="AH199" s="18">
        <f t="shared" si="98"/>
        <v>102</v>
      </c>
      <c r="AI199" s="18">
        <f t="shared" si="98"/>
        <v>11</v>
      </c>
      <c r="AJ199">
        <f t="shared" si="99"/>
        <v>0</v>
      </c>
      <c r="AK199">
        <f t="shared" si="100"/>
        <v>0</v>
      </c>
      <c r="AL199">
        <f t="shared" si="101"/>
        <v>0</v>
      </c>
      <c r="AM199" s="17">
        <f t="shared" si="102"/>
        <v>0.30308880308880309</v>
      </c>
      <c r="AN199" s="17">
        <f t="shared" si="103"/>
        <v>0.27345844504021449</v>
      </c>
      <c r="AO199" s="18" t="str">
        <f>+IFERROR(VLOOKUP(A199,[2]Rank!$B:$E,4,0),"No Ganador")</f>
        <v>No Ganador</v>
      </c>
      <c r="AP199" s="18">
        <f>+VLOOKUP(D199,[2]Departamento!$A$1:$B$16,2,0)</f>
        <v>1</v>
      </c>
      <c r="AQ199">
        <f t="shared" si="104"/>
        <v>0</v>
      </c>
    </row>
    <row r="200" spans="1:43" x14ac:dyDescent="0.3">
      <c r="A200" t="s">
        <v>465</v>
      </c>
      <c r="B200" t="s">
        <v>466</v>
      </c>
      <c r="C200" t="s">
        <v>43</v>
      </c>
      <c r="D200" t="s">
        <v>74</v>
      </c>
      <c r="E200" s="10" t="s">
        <v>57</v>
      </c>
      <c r="F200" s="10" t="s">
        <v>75</v>
      </c>
      <c r="G200" s="11">
        <v>263</v>
      </c>
      <c r="H200" s="12">
        <v>414.27272727272725</v>
      </c>
      <c r="I200" s="12">
        <f t="shared" si="82"/>
        <v>414.27272727272725</v>
      </c>
      <c r="J200" s="13">
        <f t="shared" si="79"/>
        <v>497</v>
      </c>
      <c r="K200" s="14">
        <f t="shared" si="83"/>
        <v>449</v>
      </c>
      <c r="L200" s="15">
        <v>4</v>
      </c>
      <c r="M200" s="12">
        <v>8.4545454545454533</v>
      </c>
      <c r="N200" s="12">
        <f t="shared" si="84"/>
        <v>8.4545454545454533</v>
      </c>
      <c r="O200" s="13">
        <v>10</v>
      </c>
      <c r="P200" s="16">
        <f t="shared" si="80"/>
        <v>9</v>
      </c>
      <c r="Q200" s="15">
        <f t="shared" si="85"/>
        <v>82.727272727272748</v>
      </c>
      <c r="R200" s="12">
        <f t="shared" si="86"/>
        <v>34.727272727272748</v>
      </c>
      <c r="S200" s="12">
        <f t="shared" si="87"/>
        <v>1.5454545454545467</v>
      </c>
      <c r="T200" s="12">
        <f t="shared" si="88"/>
        <v>0.54545454545454675</v>
      </c>
      <c r="U200" s="17">
        <f t="shared" si="89"/>
        <v>0.19969278033794158</v>
      </c>
      <c r="V200" s="17">
        <f t="shared" si="90"/>
        <v>8.3827079218784295E-2</v>
      </c>
      <c r="W200" s="17">
        <f t="shared" si="91"/>
        <v>0.18279569892473146</v>
      </c>
      <c r="X200" s="17">
        <f t="shared" si="92"/>
        <v>6.4516129032258229E-2</v>
      </c>
      <c r="Y200" s="18">
        <f>+IFERROR(VLOOKUP(A200,[1]Hoja1!$A:$B,2,0),0)</f>
        <v>181</v>
      </c>
      <c r="Z200" s="18">
        <f>+IFERROR(VLOOKUP(A200,[1]Hoja1!$D:$E,2,0),0)</f>
        <v>16</v>
      </c>
      <c r="AA200" s="18">
        <f t="shared" si="93"/>
        <v>510</v>
      </c>
      <c r="AB200" s="18">
        <f t="shared" si="93"/>
        <v>45</v>
      </c>
      <c r="AC200">
        <f t="shared" si="94"/>
        <v>1</v>
      </c>
      <c r="AD200">
        <f t="shared" si="95"/>
        <v>1</v>
      </c>
      <c r="AE200">
        <f t="shared" si="96"/>
        <v>1</v>
      </c>
      <c r="AF200" s="17">
        <f t="shared" si="81"/>
        <v>1.3436928702010968</v>
      </c>
      <c r="AG200" s="17">
        <f t="shared" si="97"/>
        <v>1.0261569416498995</v>
      </c>
      <c r="AH200" s="18">
        <f t="shared" si="98"/>
        <v>971</v>
      </c>
      <c r="AI200" s="18">
        <f t="shared" si="98"/>
        <v>86</v>
      </c>
      <c r="AJ200">
        <f t="shared" si="99"/>
        <v>1</v>
      </c>
      <c r="AK200">
        <f t="shared" si="100"/>
        <v>1</v>
      </c>
      <c r="AL200">
        <f t="shared" si="101"/>
        <v>1</v>
      </c>
      <c r="AM200" s="17">
        <f t="shared" si="102"/>
        <v>1.3458213256484151</v>
      </c>
      <c r="AN200" s="17">
        <f t="shared" si="103"/>
        <v>1.0264270613107822</v>
      </c>
      <c r="AO200" s="18">
        <f>+IFERROR(VLOOKUP(A200,[2]Rank!$B:$E,4,0),"No Ganador")</f>
        <v>2</v>
      </c>
      <c r="AP200" s="18">
        <f>+VLOOKUP(D200,[2]Departamento!$A$1:$B$16,2,0)</f>
        <v>2</v>
      </c>
      <c r="AQ200">
        <f t="shared" si="104"/>
        <v>1</v>
      </c>
    </row>
    <row r="201" spans="1:43" x14ac:dyDescent="0.3">
      <c r="A201" t="s">
        <v>467</v>
      </c>
      <c r="B201" t="s">
        <v>468</v>
      </c>
      <c r="C201" t="s">
        <v>43</v>
      </c>
      <c r="D201" t="s">
        <v>44</v>
      </c>
      <c r="E201" s="10" t="s">
        <v>45</v>
      </c>
      <c r="F201" s="10" t="s">
        <v>46</v>
      </c>
      <c r="G201" s="11">
        <v>109</v>
      </c>
      <c r="H201" s="12">
        <v>263.5</v>
      </c>
      <c r="I201" s="12">
        <f t="shared" si="82"/>
        <v>263.5</v>
      </c>
      <c r="J201" s="13">
        <f t="shared" si="79"/>
        <v>316</v>
      </c>
      <c r="K201" s="14">
        <f t="shared" si="83"/>
        <v>285</v>
      </c>
      <c r="L201" s="15">
        <v>1</v>
      </c>
      <c r="M201" s="12">
        <v>5.6363636363636367</v>
      </c>
      <c r="N201" s="12">
        <f t="shared" si="84"/>
        <v>5.6363636363636367</v>
      </c>
      <c r="O201" s="13">
        <v>7</v>
      </c>
      <c r="P201" s="16">
        <f t="shared" si="80"/>
        <v>6</v>
      </c>
      <c r="Q201" s="15">
        <f t="shared" si="85"/>
        <v>52.5</v>
      </c>
      <c r="R201" s="12">
        <f t="shared" si="86"/>
        <v>21.5</v>
      </c>
      <c r="S201" s="12">
        <f t="shared" si="87"/>
        <v>1.3636363636363633</v>
      </c>
      <c r="T201" s="12">
        <f t="shared" si="88"/>
        <v>0.36363636363636331</v>
      </c>
      <c r="U201" s="17">
        <f t="shared" si="89"/>
        <v>0.19924098671726753</v>
      </c>
      <c r="V201" s="17">
        <f t="shared" si="90"/>
        <v>8.1593927893738094E-2</v>
      </c>
      <c r="W201" s="17">
        <f t="shared" si="91"/>
        <v>0.24193548387096775</v>
      </c>
      <c r="X201" s="17">
        <f t="shared" si="92"/>
        <v>6.4516129032258007E-2</v>
      </c>
      <c r="Y201" s="18">
        <f>+IFERROR(VLOOKUP(A201,[1]Hoja1!$A:$B,2,0),0)</f>
        <v>88</v>
      </c>
      <c r="Z201" s="18">
        <f>+IFERROR(VLOOKUP(A201,[1]Hoja1!$D:$E,2,0),0)</f>
        <v>3</v>
      </c>
      <c r="AA201" s="18">
        <f t="shared" si="93"/>
        <v>248</v>
      </c>
      <c r="AB201" s="18">
        <f t="shared" si="93"/>
        <v>8</v>
      </c>
      <c r="AC201">
        <f t="shared" si="94"/>
        <v>0</v>
      </c>
      <c r="AD201">
        <f t="shared" si="95"/>
        <v>1</v>
      </c>
      <c r="AE201">
        <f t="shared" si="96"/>
        <v>0</v>
      </c>
      <c r="AF201" s="17">
        <f t="shared" si="81"/>
        <v>0.82051282051282048</v>
      </c>
      <c r="AG201" s="17">
        <f t="shared" si="97"/>
        <v>0.78481012658227844</v>
      </c>
      <c r="AH201" s="18">
        <f t="shared" si="98"/>
        <v>472</v>
      </c>
      <c r="AI201" s="18">
        <f t="shared" si="98"/>
        <v>16</v>
      </c>
      <c r="AJ201">
        <f t="shared" si="99"/>
        <v>0</v>
      </c>
      <c r="AK201">
        <f t="shared" si="100"/>
        <v>1</v>
      </c>
      <c r="AL201">
        <f t="shared" si="101"/>
        <v>0</v>
      </c>
      <c r="AM201" s="17">
        <f t="shared" si="102"/>
        <v>0.8288288288288288</v>
      </c>
      <c r="AN201" s="17">
        <f t="shared" si="103"/>
        <v>0.78535773710482526</v>
      </c>
      <c r="AO201" s="18" t="str">
        <f>+IFERROR(VLOOKUP(A201,[2]Rank!$B:$E,4,0),"No Ganador")</f>
        <v>No Ganador</v>
      </c>
      <c r="AP201" s="18">
        <f>+VLOOKUP(D201,[2]Departamento!$A$1:$B$16,2,0)</f>
        <v>6</v>
      </c>
      <c r="AQ201">
        <f t="shared" si="104"/>
        <v>0</v>
      </c>
    </row>
    <row r="202" spans="1:43" x14ac:dyDescent="0.3">
      <c r="A202" t="s">
        <v>469</v>
      </c>
      <c r="B202" t="s">
        <v>470</v>
      </c>
      <c r="C202" t="s">
        <v>43</v>
      </c>
      <c r="D202" t="s">
        <v>90</v>
      </c>
      <c r="E202" s="10" t="s">
        <v>69</v>
      </c>
      <c r="F202" s="10" t="s">
        <v>75</v>
      </c>
      <c r="G202" s="11">
        <v>63</v>
      </c>
      <c r="H202" s="12">
        <v>233.90909090909093</v>
      </c>
      <c r="I202" s="12">
        <f t="shared" si="82"/>
        <v>233.90909090909093</v>
      </c>
      <c r="J202" s="13">
        <f t="shared" si="79"/>
        <v>281</v>
      </c>
      <c r="K202" s="14">
        <f t="shared" si="83"/>
        <v>254</v>
      </c>
      <c r="L202" s="15">
        <v>0</v>
      </c>
      <c r="M202" s="12">
        <v>0</v>
      </c>
      <c r="N202" s="12">
        <f t="shared" si="84"/>
        <v>0</v>
      </c>
      <c r="O202" s="13">
        <v>1</v>
      </c>
      <c r="P202" s="16">
        <f t="shared" si="80"/>
        <v>1</v>
      </c>
      <c r="Q202" s="15">
        <f t="shared" si="85"/>
        <v>47.090909090909065</v>
      </c>
      <c r="R202" s="12">
        <f t="shared" si="86"/>
        <v>20.090909090909065</v>
      </c>
      <c r="S202" s="12">
        <f t="shared" si="87"/>
        <v>1</v>
      </c>
      <c r="T202" s="12">
        <f t="shared" si="88"/>
        <v>1</v>
      </c>
      <c r="U202" s="17">
        <f t="shared" si="89"/>
        <v>0.20132141469102205</v>
      </c>
      <c r="V202" s="17">
        <f t="shared" si="90"/>
        <v>8.5891954916439861E-2</v>
      </c>
      <c r="W202" s="17" t="str">
        <f t="shared" si="91"/>
        <v>-</v>
      </c>
      <c r="X202" s="17">
        <f t="shared" si="92"/>
        <v>0</v>
      </c>
      <c r="Y202" s="18">
        <f>+IFERROR(VLOOKUP(A202,[1]Hoja1!$A:$B,2,0),0)</f>
        <v>77</v>
      </c>
      <c r="Z202" s="18">
        <f>+IFERROR(VLOOKUP(A202,[1]Hoja1!$D:$E,2,0),0)</f>
        <v>0</v>
      </c>
      <c r="AA202" s="18">
        <f t="shared" si="93"/>
        <v>217</v>
      </c>
      <c r="AB202" s="18">
        <f t="shared" si="93"/>
        <v>0</v>
      </c>
      <c r="AC202">
        <f t="shared" si="94"/>
        <v>0</v>
      </c>
      <c r="AD202">
        <f t="shared" si="95"/>
        <v>0</v>
      </c>
      <c r="AE202">
        <f t="shared" si="96"/>
        <v>0</v>
      </c>
      <c r="AF202" s="17">
        <f t="shared" si="81"/>
        <v>0.75874125874125875</v>
      </c>
      <c r="AG202" s="17">
        <f t="shared" si="97"/>
        <v>0.77224199288256223</v>
      </c>
      <c r="AH202" s="18">
        <f t="shared" si="98"/>
        <v>413</v>
      </c>
      <c r="AI202" s="18">
        <f t="shared" si="98"/>
        <v>0</v>
      </c>
      <c r="AJ202">
        <f t="shared" si="99"/>
        <v>0</v>
      </c>
      <c r="AK202">
        <f t="shared" si="100"/>
        <v>0</v>
      </c>
      <c r="AL202">
        <f t="shared" si="101"/>
        <v>0</v>
      </c>
      <c r="AM202" s="17">
        <f t="shared" si="102"/>
        <v>0.75779816513761467</v>
      </c>
      <c r="AN202" s="17">
        <f t="shared" si="103"/>
        <v>0.77196261682242995</v>
      </c>
      <c r="AO202" s="18" t="str">
        <f>+IFERROR(VLOOKUP(A202,[2]Rank!$B:$E,4,0),"No Ganador")</f>
        <v>No Ganador</v>
      </c>
      <c r="AP202" s="18">
        <f>+VLOOKUP(D202,[2]Departamento!$A$1:$B$16,2,0)</f>
        <v>2</v>
      </c>
      <c r="AQ202">
        <f t="shared" si="104"/>
        <v>0</v>
      </c>
    </row>
    <row r="203" spans="1:43" x14ac:dyDescent="0.3">
      <c r="A203" t="s">
        <v>471</v>
      </c>
      <c r="B203" t="s">
        <v>472</v>
      </c>
      <c r="C203" t="s">
        <v>43</v>
      </c>
      <c r="D203" t="s">
        <v>90</v>
      </c>
      <c r="E203" s="10" t="s">
        <v>69</v>
      </c>
      <c r="F203" s="10" t="s">
        <v>75</v>
      </c>
      <c r="G203" s="11">
        <v>218</v>
      </c>
      <c r="H203" s="12">
        <v>391.72727272727275</v>
      </c>
      <c r="I203" s="12">
        <f t="shared" si="82"/>
        <v>391.72727272727275</v>
      </c>
      <c r="J203" s="13">
        <f t="shared" si="79"/>
        <v>470</v>
      </c>
      <c r="K203" s="14">
        <f t="shared" si="83"/>
        <v>425</v>
      </c>
      <c r="L203" s="15">
        <v>11</v>
      </c>
      <c r="M203" s="12">
        <v>14.09090909090909</v>
      </c>
      <c r="N203" s="12">
        <f t="shared" si="84"/>
        <v>14.09090909090909</v>
      </c>
      <c r="O203" s="13">
        <v>17</v>
      </c>
      <c r="P203" s="16">
        <f t="shared" si="80"/>
        <v>15</v>
      </c>
      <c r="Q203" s="15">
        <f t="shared" si="85"/>
        <v>78.272727272727252</v>
      </c>
      <c r="R203" s="12">
        <f t="shared" si="86"/>
        <v>33.272727272727252</v>
      </c>
      <c r="S203" s="12">
        <f t="shared" si="87"/>
        <v>2.9090909090909101</v>
      </c>
      <c r="T203" s="12">
        <f t="shared" si="88"/>
        <v>0.90909090909091006</v>
      </c>
      <c r="U203" s="17">
        <f t="shared" si="89"/>
        <v>0.19981434207472715</v>
      </c>
      <c r="V203" s="17">
        <f t="shared" si="90"/>
        <v>8.4938500812253404E-2</v>
      </c>
      <c r="W203" s="17">
        <f t="shared" si="91"/>
        <v>0.20645161290322589</v>
      </c>
      <c r="X203" s="17">
        <f t="shared" si="92"/>
        <v>6.4516129032258229E-2</v>
      </c>
      <c r="Y203" s="18">
        <f>+IFERROR(VLOOKUP(A203,[1]Hoja1!$A:$B,2,0),0)</f>
        <v>220</v>
      </c>
      <c r="Z203" s="18">
        <f>+IFERROR(VLOOKUP(A203,[1]Hoja1!$D:$E,2,0),0)</f>
        <v>7</v>
      </c>
      <c r="AA203" s="18">
        <f t="shared" si="93"/>
        <v>620</v>
      </c>
      <c r="AB203" s="18">
        <f t="shared" si="93"/>
        <v>20</v>
      </c>
      <c r="AC203">
        <f t="shared" si="94"/>
        <v>1</v>
      </c>
      <c r="AD203">
        <f t="shared" si="95"/>
        <v>1</v>
      </c>
      <c r="AE203">
        <f t="shared" si="96"/>
        <v>1</v>
      </c>
      <c r="AF203" s="17">
        <f t="shared" si="81"/>
        <v>1.2972972972972974</v>
      </c>
      <c r="AG203" s="17">
        <f t="shared" si="97"/>
        <v>1.3191489361702127</v>
      </c>
      <c r="AH203" s="18">
        <f t="shared" si="98"/>
        <v>1180</v>
      </c>
      <c r="AI203" s="18">
        <f t="shared" si="98"/>
        <v>38</v>
      </c>
      <c r="AJ203">
        <f t="shared" si="99"/>
        <v>1</v>
      </c>
      <c r="AK203">
        <f t="shared" si="100"/>
        <v>1</v>
      </c>
      <c r="AL203">
        <f t="shared" si="101"/>
        <v>1</v>
      </c>
      <c r="AM203" s="17">
        <f t="shared" si="102"/>
        <v>1.2985781990521328</v>
      </c>
      <c r="AN203" s="17">
        <f t="shared" si="103"/>
        <v>1.3184357541899441</v>
      </c>
      <c r="AO203" s="18">
        <f>+IFERROR(VLOOKUP(A203,[2]Rank!$B:$E,4,0),"No Ganador")</f>
        <v>3</v>
      </c>
      <c r="AP203" s="18">
        <f>+VLOOKUP(D203,[2]Departamento!$A$1:$B$16,2,0)</f>
        <v>2</v>
      </c>
      <c r="AQ203">
        <f t="shared" si="104"/>
        <v>0</v>
      </c>
    </row>
    <row r="204" spans="1:43" x14ac:dyDescent="0.3">
      <c r="A204" t="s">
        <v>473</v>
      </c>
      <c r="B204" t="s">
        <v>474</v>
      </c>
      <c r="C204" t="s">
        <v>43</v>
      </c>
      <c r="D204" t="s">
        <v>87</v>
      </c>
      <c r="E204" s="10" t="s">
        <v>57</v>
      </c>
      <c r="F204" s="10" t="s">
        <v>58</v>
      </c>
      <c r="G204" s="11">
        <v>125</v>
      </c>
      <c r="H204" s="12">
        <v>321.27272727272725</v>
      </c>
      <c r="I204" s="12">
        <f t="shared" si="82"/>
        <v>321.27272727272725</v>
      </c>
      <c r="J204" s="13">
        <f t="shared" ref="J204:J212" si="105">ROUND(I204*1.2,0)</f>
        <v>386</v>
      </c>
      <c r="K204" s="14">
        <f t="shared" si="83"/>
        <v>349</v>
      </c>
      <c r="L204" s="15">
        <v>7</v>
      </c>
      <c r="M204" s="12">
        <v>14.09090909090909</v>
      </c>
      <c r="N204" s="12">
        <f t="shared" si="84"/>
        <v>14.09090909090909</v>
      </c>
      <c r="O204" s="13">
        <v>17</v>
      </c>
      <c r="P204" s="16">
        <f t="shared" si="80"/>
        <v>15</v>
      </c>
      <c r="Q204" s="15">
        <f t="shared" si="85"/>
        <v>64.727272727272748</v>
      </c>
      <c r="R204" s="12">
        <f t="shared" si="86"/>
        <v>27.727272727272748</v>
      </c>
      <c r="S204" s="12">
        <f t="shared" si="87"/>
        <v>2.9090909090909101</v>
      </c>
      <c r="T204" s="12">
        <f t="shared" si="88"/>
        <v>0.90909090909091006</v>
      </c>
      <c r="U204" s="17">
        <f t="shared" si="89"/>
        <v>0.20147142048670075</v>
      </c>
      <c r="V204" s="17">
        <f t="shared" si="90"/>
        <v>8.6304470854555726E-2</v>
      </c>
      <c r="W204" s="17">
        <f t="shared" si="91"/>
        <v>0.20645161290322589</v>
      </c>
      <c r="X204" s="17">
        <f t="shared" si="92"/>
        <v>6.4516129032258229E-2</v>
      </c>
      <c r="Y204" s="18">
        <f>+IFERROR(VLOOKUP(A204,[1]Hoja1!$A:$B,2,0),0)</f>
        <v>139</v>
      </c>
      <c r="Z204" s="18">
        <f>+IFERROR(VLOOKUP(A204,[1]Hoja1!$D:$E,2,0),0)</f>
        <v>14</v>
      </c>
      <c r="AA204" s="18">
        <f t="shared" si="93"/>
        <v>392</v>
      </c>
      <c r="AB204" s="18">
        <f t="shared" si="93"/>
        <v>39</v>
      </c>
      <c r="AC204">
        <f t="shared" si="94"/>
        <v>1</v>
      </c>
      <c r="AD204">
        <f t="shared" si="95"/>
        <v>1</v>
      </c>
      <c r="AE204">
        <f t="shared" si="96"/>
        <v>1</v>
      </c>
      <c r="AF204" s="17">
        <f t="shared" si="81"/>
        <v>1.2462845010615711</v>
      </c>
      <c r="AG204" s="17">
        <f t="shared" si="97"/>
        <v>1.0155440414507773</v>
      </c>
      <c r="AH204" s="18">
        <f t="shared" si="98"/>
        <v>746</v>
      </c>
      <c r="AI204" s="18">
        <f t="shared" si="98"/>
        <v>75</v>
      </c>
      <c r="AJ204">
        <f t="shared" si="99"/>
        <v>1</v>
      </c>
      <c r="AK204">
        <f t="shared" si="100"/>
        <v>1</v>
      </c>
      <c r="AL204">
        <f t="shared" si="101"/>
        <v>1</v>
      </c>
      <c r="AM204" s="17">
        <f t="shared" si="102"/>
        <v>1.252513966480447</v>
      </c>
      <c r="AN204" s="17">
        <f t="shared" si="103"/>
        <v>1.0149659863945579</v>
      </c>
      <c r="AO204" s="18">
        <f>+IFERROR(VLOOKUP(A204,[2]Rank!$B:$E,4,0),"No Ganador")</f>
        <v>1</v>
      </c>
      <c r="AP204" s="18">
        <f>+VLOOKUP(D204,[2]Departamento!$A$1:$B$16,2,0)</f>
        <v>2</v>
      </c>
      <c r="AQ204">
        <f t="shared" si="104"/>
        <v>1</v>
      </c>
    </row>
    <row r="205" spans="1:43" x14ac:dyDescent="0.3">
      <c r="A205" t="s">
        <v>475</v>
      </c>
      <c r="B205" t="s">
        <v>476</v>
      </c>
      <c r="C205" t="s">
        <v>43</v>
      </c>
      <c r="D205" t="s">
        <v>49</v>
      </c>
      <c r="E205" s="10" t="s">
        <v>50</v>
      </c>
      <c r="F205" s="10" t="s">
        <v>51</v>
      </c>
      <c r="G205" s="11">
        <v>0</v>
      </c>
      <c r="H205" s="12">
        <v>218.40909090909093</v>
      </c>
      <c r="I205" s="12">
        <f t="shared" si="82"/>
        <v>218.40909090909093</v>
      </c>
      <c r="J205" s="13">
        <f t="shared" si="105"/>
        <v>262</v>
      </c>
      <c r="K205" s="14">
        <f t="shared" si="83"/>
        <v>237</v>
      </c>
      <c r="L205" s="15">
        <v>0</v>
      </c>
      <c r="M205" s="12">
        <v>18.31818181818182</v>
      </c>
      <c r="N205" s="12">
        <f t="shared" si="84"/>
        <v>18.31818181818182</v>
      </c>
      <c r="O205" s="13">
        <v>22</v>
      </c>
      <c r="P205" s="16">
        <f t="shared" si="80"/>
        <v>20</v>
      </c>
      <c r="Q205" s="15">
        <f t="shared" si="85"/>
        <v>43.590909090909065</v>
      </c>
      <c r="R205" s="12">
        <f t="shared" si="86"/>
        <v>18.590909090909065</v>
      </c>
      <c r="S205" s="12">
        <f t="shared" si="87"/>
        <v>3.6818181818181799</v>
      </c>
      <c r="T205" s="12">
        <f t="shared" si="88"/>
        <v>1.6818181818181799</v>
      </c>
      <c r="U205" s="17">
        <f t="shared" si="89"/>
        <v>0.19958376690946911</v>
      </c>
      <c r="V205" s="17">
        <f t="shared" si="90"/>
        <v>8.5119667013527467E-2</v>
      </c>
      <c r="W205" s="17">
        <f t="shared" si="91"/>
        <v>0.2009925558312653</v>
      </c>
      <c r="X205" s="17">
        <f t="shared" si="92"/>
        <v>9.1811414392059421E-2</v>
      </c>
      <c r="Y205" s="18">
        <f>+IFERROR(VLOOKUP(A205,[1]Hoja1!$A:$B,2,0),0)</f>
        <v>88</v>
      </c>
      <c r="Z205" s="18">
        <f>+IFERROR(VLOOKUP(A205,[1]Hoja1!$D:$E,2,0),0)</f>
        <v>8</v>
      </c>
      <c r="AA205" s="18">
        <f t="shared" si="93"/>
        <v>248</v>
      </c>
      <c r="AB205" s="18">
        <f t="shared" si="93"/>
        <v>23</v>
      </c>
      <c r="AC205">
        <f t="shared" si="94"/>
        <v>0</v>
      </c>
      <c r="AD205">
        <f t="shared" si="95"/>
        <v>1</v>
      </c>
      <c r="AE205">
        <f t="shared" si="96"/>
        <v>0</v>
      </c>
      <c r="AF205" s="17">
        <f t="shared" si="81"/>
        <v>0.97580645161290325</v>
      </c>
      <c r="AG205" s="17">
        <f t="shared" si="97"/>
        <v>0.94656488549618323</v>
      </c>
      <c r="AH205" s="18">
        <f t="shared" si="98"/>
        <v>472</v>
      </c>
      <c r="AI205" s="18">
        <f t="shared" si="98"/>
        <v>43</v>
      </c>
      <c r="AJ205">
        <f t="shared" si="99"/>
        <v>0</v>
      </c>
      <c r="AK205">
        <f t="shared" si="100"/>
        <v>1</v>
      </c>
      <c r="AL205">
        <f t="shared" si="101"/>
        <v>0</v>
      </c>
      <c r="AM205" s="17">
        <f t="shared" si="102"/>
        <v>0.96897038081805364</v>
      </c>
      <c r="AN205" s="17">
        <f t="shared" si="103"/>
        <v>0.94589178356713421</v>
      </c>
      <c r="AO205" s="18" t="str">
        <f>+IFERROR(VLOOKUP(A205,[2]Rank!$B:$E,4,0),"No Ganador")</f>
        <v>No Ganador</v>
      </c>
      <c r="AP205" s="18">
        <f>+VLOOKUP(D205,[2]Departamento!$A$1:$B$16,2,0)</f>
        <v>1</v>
      </c>
      <c r="AQ205">
        <f t="shared" si="104"/>
        <v>0</v>
      </c>
    </row>
    <row r="206" spans="1:43" x14ac:dyDescent="0.3">
      <c r="A206" t="s">
        <v>477</v>
      </c>
      <c r="B206" t="s">
        <v>478</v>
      </c>
      <c r="C206" t="s">
        <v>43</v>
      </c>
      <c r="D206" t="s">
        <v>110</v>
      </c>
      <c r="E206" s="10" t="s">
        <v>50</v>
      </c>
      <c r="F206" s="10" t="s">
        <v>51</v>
      </c>
      <c r="G206" s="11">
        <v>111</v>
      </c>
      <c r="H206" s="12">
        <v>348.0454545454545</v>
      </c>
      <c r="I206" s="12">
        <f t="shared" si="82"/>
        <v>348.0454545454545</v>
      </c>
      <c r="J206" s="13">
        <f t="shared" si="105"/>
        <v>418</v>
      </c>
      <c r="K206" s="14">
        <f t="shared" si="83"/>
        <v>378</v>
      </c>
      <c r="L206" s="15">
        <v>3</v>
      </c>
      <c r="M206" s="12">
        <v>0</v>
      </c>
      <c r="N206" s="12">
        <f t="shared" si="84"/>
        <v>3</v>
      </c>
      <c r="O206" s="13">
        <v>3</v>
      </c>
      <c r="P206" s="16">
        <v>3</v>
      </c>
      <c r="Q206" s="15">
        <f t="shared" si="85"/>
        <v>69.954545454545496</v>
      </c>
      <c r="R206" s="12">
        <f t="shared" si="86"/>
        <v>29.954545454545496</v>
      </c>
      <c r="S206" s="12">
        <f t="shared" si="87"/>
        <v>3</v>
      </c>
      <c r="T206" s="12">
        <f t="shared" si="88"/>
        <v>3</v>
      </c>
      <c r="U206" s="17">
        <f t="shared" si="89"/>
        <v>0.20099255583126574</v>
      </c>
      <c r="V206" s="17">
        <f t="shared" si="90"/>
        <v>8.6065038526838222E-2</v>
      </c>
      <c r="W206" s="17" t="str">
        <f t="shared" si="91"/>
        <v>-</v>
      </c>
      <c r="X206" s="17">
        <f t="shared" si="92"/>
        <v>0</v>
      </c>
      <c r="Y206" s="18">
        <f>+IFERROR(VLOOKUP(A206,[1]Hoja1!$A:$B,2,0),0)</f>
        <v>109</v>
      </c>
      <c r="Z206" s="18">
        <f>+IFERROR(VLOOKUP(A206,[1]Hoja1!$D:$E,2,0),0)</f>
        <v>2</v>
      </c>
      <c r="AA206" s="18">
        <f t="shared" si="93"/>
        <v>307</v>
      </c>
      <c r="AB206" s="18">
        <f t="shared" si="93"/>
        <v>6</v>
      </c>
      <c r="AC206">
        <f t="shared" si="94"/>
        <v>0</v>
      </c>
      <c r="AD206">
        <f t="shared" si="95"/>
        <v>1</v>
      </c>
      <c r="AE206">
        <f t="shared" si="96"/>
        <v>0</v>
      </c>
      <c r="AF206" s="17">
        <f t="shared" si="81"/>
        <v>0.77829099307159355</v>
      </c>
      <c r="AG206" s="17">
        <f t="shared" si="97"/>
        <v>0.73444976076555024</v>
      </c>
      <c r="AH206" s="18">
        <f t="shared" si="98"/>
        <v>585</v>
      </c>
      <c r="AI206" s="18">
        <f t="shared" si="98"/>
        <v>11</v>
      </c>
      <c r="AJ206">
        <f t="shared" si="99"/>
        <v>0</v>
      </c>
      <c r="AK206">
        <f t="shared" si="100"/>
        <v>1</v>
      </c>
      <c r="AL206">
        <f t="shared" si="101"/>
        <v>0</v>
      </c>
      <c r="AM206" s="17">
        <f t="shared" si="102"/>
        <v>0.77481840193704599</v>
      </c>
      <c r="AN206" s="17">
        <f t="shared" si="103"/>
        <v>0.73492462311557794</v>
      </c>
      <c r="AO206" s="18" t="str">
        <f>+IFERROR(VLOOKUP(A206,[2]Rank!$B:$E,4,0),"No Ganador")</f>
        <v>No Ganador</v>
      </c>
      <c r="AP206" s="18">
        <f>+VLOOKUP(D206,[2]Departamento!$A$1:$B$16,2,0)</f>
        <v>1</v>
      </c>
      <c r="AQ206">
        <f t="shared" si="104"/>
        <v>0</v>
      </c>
    </row>
    <row r="207" spans="1:43" x14ac:dyDescent="0.3">
      <c r="A207" t="s">
        <v>479</v>
      </c>
      <c r="B207" t="s">
        <v>480</v>
      </c>
      <c r="C207" t="s">
        <v>43</v>
      </c>
      <c r="D207" t="s">
        <v>78</v>
      </c>
      <c r="E207" s="10" t="s">
        <v>50</v>
      </c>
      <c r="F207" s="10" t="s">
        <v>51</v>
      </c>
      <c r="G207" s="11">
        <v>132</v>
      </c>
      <c r="H207" s="12">
        <v>366.36363636363637</v>
      </c>
      <c r="I207" s="12">
        <f t="shared" si="82"/>
        <v>366.36363636363637</v>
      </c>
      <c r="J207" s="13">
        <f t="shared" si="105"/>
        <v>440</v>
      </c>
      <c r="K207" s="14">
        <f t="shared" si="83"/>
        <v>397</v>
      </c>
      <c r="L207" s="15">
        <v>2</v>
      </c>
      <c r="M207" s="12">
        <v>1.4090909090909092</v>
      </c>
      <c r="N207" s="12">
        <f t="shared" si="84"/>
        <v>2</v>
      </c>
      <c r="O207" s="13">
        <v>3</v>
      </c>
      <c r="P207" s="16">
        <v>3</v>
      </c>
      <c r="Q207" s="15">
        <f t="shared" si="85"/>
        <v>73.636363636363626</v>
      </c>
      <c r="R207" s="12">
        <f t="shared" si="86"/>
        <v>30.636363636363626</v>
      </c>
      <c r="S207" s="12">
        <f t="shared" si="87"/>
        <v>1.5909090909090908</v>
      </c>
      <c r="T207" s="12">
        <f t="shared" si="88"/>
        <v>1.5909090909090908</v>
      </c>
      <c r="U207" s="17">
        <f t="shared" si="89"/>
        <v>0.20099255583126552</v>
      </c>
      <c r="V207" s="17">
        <f t="shared" si="90"/>
        <v>8.3622828784118974E-2</v>
      </c>
      <c r="W207" s="17">
        <f t="shared" si="91"/>
        <v>1.129032258064516</v>
      </c>
      <c r="X207" s="17">
        <f t="shared" si="92"/>
        <v>1.129032258064516</v>
      </c>
      <c r="Y207" s="18">
        <f>+IFERROR(VLOOKUP(A207,[1]Hoja1!$A:$B,2,0),0)</f>
        <v>106</v>
      </c>
      <c r="Z207" s="18">
        <f>+IFERROR(VLOOKUP(A207,[1]Hoja1!$D:$E,2,0),0)</f>
        <v>1</v>
      </c>
      <c r="AA207" s="18">
        <f t="shared" si="93"/>
        <v>299</v>
      </c>
      <c r="AB207" s="18">
        <f t="shared" si="93"/>
        <v>3</v>
      </c>
      <c r="AC207">
        <f t="shared" si="94"/>
        <v>0</v>
      </c>
      <c r="AD207">
        <f t="shared" si="95"/>
        <v>1</v>
      </c>
      <c r="AE207">
        <f t="shared" si="96"/>
        <v>0</v>
      </c>
      <c r="AF207" s="17">
        <f t="shared" si="81"/>
        <v>0.6901098901098901</v>
      </c>
      <c r="AG207" s="17">
        <f t="shared" si="97"/>
        <v>0.67954545454545456</v>
      </c>
      <c r="AH207" s="18">
        <f t="shared" si="98"/>
        <v>569</v>
      </c>
      <c r="AI207" s="18">
        <f t="shared" si="98"/>
        <v>5</v>
      </c>
      <c r="AJ207">
        <f t="shared" si="99"/>
        <v>0</v>
      </c>
      <c r="AK207">
        <f t="shared" si="100"/>
        <v>0</v>
      </c>
      <c r="AL207">
        <f t="shared" si="101"/>
        <v>0</v>
      </c>
      <c r="AM207" s="17">
        <f t="shared" si="102"/>
        <v>0.68512110726643594</v>
      </c>
      <c r="AN207" s="17">
        <f t="shared" si="103"/>
        <v>0.67980884109916373</v>
      </c>
      <c r="AO207" s="18" t="str">
        <f>+IFERROR(VLOOKUP(A207,[2]Rank!$B:$E,4,0),"No Ganador")</f>
        <v>No Ganador</v>
      </c>
      <c r="AP207" s="18">
        <f>+VLOOKUP(D207,[2]Departamento!$A$1:$B$16,2,0)</f>
        <v>1</v>
      </c>
      <c r="AQ207">
        <f t="shared" si="104"/>
        <v>0</v>
      </c>
    </row>
    <row r="208" spans="1:43" x14ac:dyDescent="0.3">
      <c r="A208" t="s">
        <v>481</v>
      </c>
      <c r="B208" t="s">
        <v>482</v>
      </c>
      <c r="C208" t="s">
        <v>43</v>
      </c>
      <c r="D208" t="s">
        <v>110</v>
      </c>
      <c r="E208" s="10" t="s">
        <v>50</v>
      </c>
      <c r="F208" s="10" t="s">
        <v>51</v>
      </c>
      <c r="G208" s="11">
        <v>112</v>
      </c>
      <c r="H208" s="12">
        <v>346.63636363636363</v>
      </c>
      <c r="I208" s="12">
        <f t="shared" si="82"/>
        <v>346.63636363636363</v>
      </c>
      <c r="J208" s="13">
        <f t="shared" si="105"/>
        <v>416</v>
      </c>
      <c r="K208" s="14">
        <f t="shared" si="83"/>
        <v>376</v>
      </c>
      <c r="L208" s="15">
        <v>7</v>
      </c>
      <c r="M208" s="12">
        <v>12.681818181818183</v>
      </c>
      <c r="N208" s="12">
        <f t="shared" si="84"/>
        <v>12.681818181818183</v>
      </c>
      <c r="O208" s="13">
        <v>15</v>
      </c>
      <c r="P208" s="16">
        <f t="shared" si="80"/>
        <v>14</v>
      </c>
      <c r="Q208" s="15">
        <f t="shared" si="85"/>
        <v>69.363636363636374</v>
      </c>
      <c r="R208" s="12">
        <f t="shared" si="86"/>
        <v>29.363636363636374</v>
      </c>
      <c r="S208" s="12">
        <f t="shared" si="87"/>
        <v>2.3181818181818166</v>
      </c>
      <c r="T208" s="12">
        <f t="shared" si="88"/>
        <v>1.3181818181818166</v>
      </c>
      <c r="U208" s="17">
        <f t="shared" si="89"/>
        <v>0.20010490427484928</v>
      </c>
      <c r="V208" s="17">
        <f t="shared" si="90"/>
        <v>8.4710201940729091E-2</v>
      </c>
      <c r="W208" s="17">
        <f t="shared" si="91"/>
        <v>0.18279569892473102</v>
      </c>
      <c r="X208" s="17">
        <f t="shared" si="92"/>
        <v>0.10394265232974886</v>
      </c>
      <c r="Y208" s="18">
        <f>+IFERROR(VLOOKUP(A208,[1]Hoja1!$A:$B,2,0),0)</f>
        <v>134</v>
      </c>
      <c r="Z208" s="18">
        <f>+IFERROR(VLOOKUP(A208,[1]Hoja1!$D:$E,2,0),0)</f>
        <v>13</v>
      </c>
      <c r="AA208" s="18">
        <f t="shared" si="93"/>
        <v>378</v>
      </c>
      <c r="AB208" s="18">
        <f t="shared" si="93"/>
        <v>37</v>
      </c>
      <c r="AC208">
        <f t="shared" si="94"/>
        <v>0</v>
      </c>
      <c r="AD208">
        <f t="shared" si="95"/>
        <v>1</v>
      </c>
      <c r="AE208">
        <f t="shared" si="96"/>
        <v>0</v>
      </c>
      <c r="AF208" s="17">
        <f t="shared" si="81"/>
        <v>1.1466395112016294</v>
      </c>
      <c r="AG208" s="17">
        <f t="shared" si="97"/>
        <v>0.90865384615384615</v>
      </c>
      <c r="AH208" s="18">
        <f t="shared" si="98"/>
        <v>719</v>
      </c>
      <c r="AI208" s="18">
        <f t="shared" si="98"/>
        <v>70</v>
      </c>
      <c r="AJ208">
        <f t="shared" si="99"/>
        <v>0</v>
      </c>
      <c r="AK208">
        <f t="shared" si="100"/>
        <v>1</v>
      </c>
      <c r="AL208">
        <f t="shared" si="101"/>
        <v>0</v>
      </c>
      <c r="AM208" s="17">
        <f t="shared" si="102"/>
        <v>1.1408751334044824</v>
      </c>
      <c r="AN208" s="17">
        <f t="shared" si="103"/>
        <v>0.90782828282828287</v>
      </c>
      <c r="AO208" s="18" t="str">
        <f>+IFERROR(VLOOKUP(A208,[2]Rank!$B:$E,4,0),"No Ganador")</f>
        <v>No Ganador</v>
      </c>
      <c r="AP208" s="18">
        <f>+VLOOKUP(D208,[2]Departamento!$A$1:$B$16,2,0)</f>
        <v>1</v>
      </c>
      <c r="AQ208">
        <f t="shared" si="104"/>
        <v>0</v>
      </c>
    </row>
    <row r="209" spans="1:43" x14ac:dyDescent="0.3">
      <c r="A209" t="s">
        <v>483</v>
      </c>
      <c r="B209" t="s">
        <v>484</v>
      </c>
      <c r="C209" t="s">
        <v>43</v>
      </c>
      <c r="D209" t="s">
        <v>87</v>
      </c>
      <c r="E209" s="10" t="s">
        <v>57</v>
      </c>
      <c r="F209" s="10" t="s">
        <v>58</v>
      </c>
      <c r="G209" s="11">
        <v>194</v>
      </c>
      <c r="H209" s="12">
        <v>466.40909090909088</v>
      </c>
      <c r="I209" s="12">
        <f t="shared" si="82"/>
        <v>466.40909090909088</v>
      </c>
      <c r="J209" s="13">
        <f t="shared" si="105"/>
        <v>560</v>
      </c>
      <c r="K209" s="14">
        <f t="shared" si="83"/>
        <v>506</v>
      </c>
      <c r="L209" s="15">
        <v>4</v>
      </c>
      <c r="M209" s="12">
        <v>2.8181818181818183</v>
      </c>
      <c r="N209" s="12">
        <f t="shared" si="84"/>
        <v>4</v>
      </c>
      <c r="O209" s="13">
        <v>5</v>
      </c>
      <c r="P209" s="16">
        <f t="shared" si="80"/>
        <v>5</v>
      </c>
      <c r="Q209" s="15">
        <f t="shared" si="85"/>
        <v>93.590909090909122</v>
      </c>
      <c r="R209" s="12">
        <f t="shared" si="86"/>
        <v>39.590909090909122</v>
      </c>
      <c r="S209" s="12">
        <f t="shared" si="87"/>
        <v>2.1818181818181817</v>
      </c>
      <c r="T209" s="12">
        <f t="shared" si="88"/>
        <v>2.1818181818181817</v>
      </c>
      <c r="U209" s="17">
        <f t="shared" si="89"/>
        <v>0.20066270344021064</v>
      </c>
      <c r="V209" s="17">
        <f t="shared" si="90"/>
        <v>8.4884514179904613E-2</v>
      </c>
      <c r="W209" s="17">
        <f t="shared" si="91"/>
        <v>0.77419354838709675</v>
      </c>
      <c r="X209" s="17">
        <f t="shared" si="92"/>
        <v>0.77419354838709675</v>
      </c>
      <c r="Y209" s="18">
        <f>+IFERROR(VLOOKUP(A209,[1]Hoja1!$A:$B,2,0),0)</f>
        <v>174</v>
      </c>
      <c r="Z209" s="18">
        <f>+IFERROR(VLOOKUP(A209,[1]Hoja1!$D:$E,2,0),0)</f>
        <v>8</v>
      </c>
      <c r="AA209" s="18">
        <f t="shared" si="93"/>
        <v>490</v>
      </c>
      <c r="AB209" s="18">
        <f t="shared" si="93"/>
        <v>23</v>
      </c>
      <c r="AC209">
        <f t="shared" si="94"/>
        <v>0</v>
      </c>
      <c r="AD209">
        <f t="shared" si="95"/>
        <v>1</v>
      </c>
      <c r="AE209">
        <f t="shared" si="96"/>
        <v>0</v>
      </c>
      <c r="AF209" s="17">
        <f t="shared" si="81"/>
        <v>1.0341880341880343</v>
      </c>
      <c r="AG209" s="17">
        <f t="shared" si="97"/>
        <v>0.875</v>
      </c>
      <c r="AH209" s="18">
        <f t="shared" si="98"/>
        <v>933</v>
      </c>
      <c r="AI209" s="18">
        <f t="shared" si="98"/>
        <v>43</v>
      </c>
      <c r="AJ209">
        <f t="shared" si="99"/>
        <v>0</v>
      </c>
      <c r="AK209">
        <f t="shared" si="100"/>
        <v>1</v>
      </c>
      <c r="AL209">
        <f t="shared" si="101"/>
        <v>0</v>
      </c>
      <c r="AM209" s="17">
        <f t="shared" si="102"/>
        <v>1.0286738351254481</v>
      </c>
      <c r="AN209" s="17">
        <f t="shared" si="103"/>
        <v>0.87523452157598502</v>
      </c>
      <c r="AO209" s="18" t="str">
        <f>+IFERROR(VLOOKUP(A209,[2]Rank!$B:$E,4,0),"No Ganador")</f>
        <v>No Ganador</v>
      </c>
      <c r="AP209" s="18">
        <f>+VLOOKUP(D209,[2]Departamento!$A$1:$B$16,2,0)</f>
        <v>2</v>
      </c>
      <c r="AQ209">
        <f t="shared" si="104"/>
        <v>0</v>
      </c>
    </row>
    <row r="210" spans="1:43" x14ac:dyDescent="0.3">
      <c r="A210" t="s">
        <v>485</v>
      </c>
      <c r="B210" t="s">
        <v>486</v>
      </c>
      <c r="C210" t="s">
        <v>43</v>
      </c>
      <c r="D210" t="s">
        <v>130</v>
      </c>
      <c r="E210" s="10" t="s">
        <v>57</v>
      </c>
      <c r="F210" s="10" t="s">
        <v>58</v>
      </c>
      <c r="G210" s="11">
        <v>183</v>
      </c>
      <c r="H210" s="12">
        <v>171</v>
      </c>
      <c r="I210" s="12">
        <f t="shared" si="82"/>
        <v>183</v>
      </c>
      <c r="J210" s="13">
        <f t="shared" si="105"/>
        <v>220</v>
      </c>
      <c r="K210" s="14">
        <f t="shared" si="83"/>
        <v>199</v>
      </c>
      <c r="L210" s="15">
        <v>15</v>
      </c>
      <c r="M210" s="12">
        <v>11</v>
      </c>
      <c r="N210" s="12">
        <f t="shared" si="84"/>
        <v>15</v>
      </c>
      <c r="O210" s="13">
        <v>18</v>
      </c>
      <c r="P210" s="16">
        <f t="shared" si="80"/>
        <v>16</v>
      </c>
      <c r="Q210" s="15">
        <f t="shared" si="85"/>
        <v>49</v>
      </c>
      <c r="R210" s="12">
        <f t="shared" si="86"/>
        <v>28</v>
      </c>
      <c r="S210" s="12">
        <f t="shared" si="87"/>
        <v>7</v>
      </c>
      <c r="T210" s="12">
        <f t="shared" si="88"/>
        <v>5</v>
      </c>
      <c r="U210" s="17">
        <f t="shared" si="89"/>
        <v>0.28654970760233911</v>
      </c>
      <c r="V210" s="17">
        <f t="shared" si="90"/>
        <v>0.16374269005847952</v>
      </c>
      <c r="W210" s="17">
        <f t="shared" si="91"/>
        <v>0.63636363636363646</v>
      </c>
      <c r="X210" s="17">
        <f t="shared" si="92"/>
        <v>0.45454545454545459</v>
      </c>
      <c r="Y210" s="18">
        <f>+IFERROR(VLOOKUP(A210,[1]Hoja1!$A:$B,2,0),0)</f>
        <v>51</v>
      </c>
      <c r="Z210" s="18">
        <f>+IFERROR(VLOOKUP(A210,[1]Hoja1!$D:$E,2,0),0)</f>
        <v>3</v>
      </c>
      <c r="AA210" s="18">
        <f t="shared" si="93"/>
        <v>144</v>
      </c>
      <c r="AB210" s="18">
        <f t="shared" si="93"/>
        <v>8</v>
      </c>
      <c r="AC210">
        <f t="shared" si="94"/>
        <v>0</v>
      </c>
      <c r="AD210">
        <f t="shared" si="95"/>
        <v>0</v>
      </c>
      <c r="AE210">
        <f t="shared" si="96"/>
        <v>0</v>
      </c>
      <c r="AF210" s="17">
        <f t="shared" si="81"/>
        <v>0.59354838709677415</v>
      </c>
      <c r="AG210" s="17">
        <f t="shared" si="97"/>
        <v>0.65454545454545454</v>
      </c>
      <c r="AH210" s="18">
        <f t="shared" si="98"/>
        <v>274</v>
      </c>
      <c r="AI210" s="18">
        <f t="shared" si="98"/>
        <v>16</v>
      </c>
      <c r="AJ210">
        <f t="shared" si="99"/>
        <v>0</v>
      </c>
      <c r="AK210">
        <f t="shared" si="100"/>
        <v>0</v>
      </c>
      <c r="AL210">
        <f t="shared" si="101"/>
        <v>0</v>
      </c>
      <c r="AM210" s="17">
        <f t="shared" si="102"/>
        <v>0.60101867572156198</v>
      </c>
      <c r="AN210" s="17">
        <f t="shared" si="103"/>
        <v>0.65393794749403344</v>
      </c>
      <c r="AO210" s="18" t="str">
        <f>+IFERROR(VLOOKUP(A210,[2]Rank!$B:$E,4,0),"No Ganador")</f>
        <v>No Ganador</v>
      </c>
      <c r="AP210" s="18">
        <f>+VLOOKUP(D210,[2]Departamento!$A$1:$B$16,2,0)</f>
        <v>1</v>
      </c>
      <c r="AQ210">
        <f t="shared" si="104"/>
        <v>0</v>
      </c>
    </row>
    <row r="211" spans="1:43" x14ac:dyDescent="0.3">
      <c r="A211" t="s">
        <v>487</v>
      </c>
      <c r="B211" t="s">
        <v>488</v>
      </c>
      <c r="C211" t="s">
        <v>43</v>
      </c>
      <c r="D211" t="s">
        <v>130</v>
      </c>
      <c r="E211" s="10" t="s">
        <v>57</v>
      </c>
      <c r="F211" s="10" t="s">
        <v>58</v>
      </c>
      <c r="G211" s="11">
        <v>186</v>
      </c>
      <c r="H211" s="12">
        <v>542.5</v>
      </c>
      <c r="I211" s="12">
        <f t="shared" si="82"/>
        <v>542.5</v>
      </c>
      <c r="J211" s="13">
        <f t="shared" si="105"/>
        <v>651</v>
      </c>
      <c r="K211" s="14">
        <f t="shared" si="83"/>
        <v>588</v>
      </c>
      <c r="L211" s="15">
        <v>3</v>
      </c>
      <c r="M211" s="12">
        <v>7.045454545454545</v>
      </c>
      <c r="N211" s="12">
        <f t="shared" si="84"/>
        <v>7.045454545454545</v>
      </c>
      <c r="O211" s="13">
        <v>8</v>
      </c>
      <c r="P211" s="16">
        <f t="shared" si="80"/>
        <v>7</v>
      </c>
      <c r="Q211" s="15">
        <f t="shared" si="85"/>
        <v>108.5</v>
      </c>
      <c r="R211" s="12">
        <f t="shared" si="86"/>
        <v>45.5</v>
      </c>
      <c r="S211" s="12">
        <f t="shared" si="87"/>
        <v>0.95454545454545503</v>
      </c>
      <c r="T211" s="12">
        <f t="shared" si="88"/>
        <v>-4.545454545454497E-2</v>
      </c>
      <c r="U211" s="17">
        <f t="shared" si="89"/>
        <v>0.19999999999999996</v>
      </c>
      <c r="V211" s="17">
        <f t="shared" si="90"/>
        <v>8.3870967741935587E-2</v>
      </c>
      <c r="W211" s="17">
        <f t="shared" si="91"/>
        <v>0.13548387096774195</v>
      </c>
      <c r="X211" s="17">
        <f t="shared" si="92"/>
        <v>-6.4516129032257119E-3</v>
      </c>
      <c r="Y211" s="18">
        <f>+IFERROR(VLOOKUP(A211,[1]Hoja1!$A:$B,2,0),0)</f>
        <v>285</v>
      </c>
      <c r="Z211" s="18">
        <f>+IFERROR(VLOOKUP(A211,[1]Hoja1!$D:$E,2,0),0)</f>
        <v>22</v>
      </c>
      <c r="AA211" s="18">
        <f t="shared" si="93"/>
        <v>803</v>
      </c>
      <c r="AB211" s="18">
        <f t="shared" si="93"/>
        <v>62</v>
      </c>
      <c r="AC211">
        <f t="shared" si="94"/>
        <v>1</v>
      </c>
      <c r="AD211">
        <f t="shared" si="95"/>
        <v>1</v>
      </c>
      <c r="AE211">
        <f t="shared" si="96"/>
        <v>1</v>
      </c>
      <c r="AF211" s="17">
        <f t="shared" si="81"/>
        <v>1.6107091172214183</v>
      </c>
      <c r="AG211" s="17">
        <f t="shared" si="97"/>
        <v>1.2334869431643625</v>
      </c>
      <c r="AH211" s="18">
        <f t="shared" si="98"/>
        <v>1529</v>
      </c>
      <c r="AI211" s="18">
        <f t="shared" si="98"/>
        <v>118</v>
      </c>
      <c r="AJ211">
        <f t="shared" si="99"/>
        <v>1</v>
      </c>
      <c r="AK211">
        <f t="shared" si="100"/>
        <v>1</v>
      </c>
      <c r="AL211">
        <f t="shared" si="101"/>
        <v>1</v>
      </c>
      <c r="AM211" s="17">
        <f t="shared" si="102"/>
        <v>1.6126331811263319</v>
      </c>
      <c r="AN211" s="17">
        <f t="shared" si="103"/>
        <v>1.2340597255851493</v>
      </c>
      <c r="AO211" s="18">
        <f>+IFERROR(VLOOKUP(A211,[2]Rank!$B:$E,4,0),"No Ganador")</f>
        <v>1</v>
      </c>
      <c r="AP211" s="18">
        <f>+VLOOKUP(D211,[2]Departamento!$A$1:$B$16,2,0)</f>
        <v>1</v>
      </c>
      <c r="AQ211">
        <f t="shared" si="104"/>
        <v>1</v>
      </c>
    </row>
    <row r="212" spans="1:43" x14ac:dyDescent="0.3">
      <c r="A212" t="s">
        <v>489</v>
      </c>
      <c r="B212" t="s">
        <v>490</v>
      </c>
      <c r="C212" t="s">
        <v>43</v>
      </c>
      <c r="D212" t="s">
        <v>182</v>
      </c>
      <c r="E212" s="10" t="s">
        <v>183</v>
      </c>
      <c r="F212" s="10" t="s">
        <v>51</v>
      </c>
      <c r="G212" s="11">
        <v>48</v>
      </c>
      <c r="H212" s="12">
        <v>512.90909090909099</v>
      </c>
      <c r="I212" s="12">
        <f t="shared" si="82"/>
        <v>512.90909090909099</v>
      </c>
      <c r="J212" s="13">
        <f t="shared" si="105"/>
        <v>615</v>
      </c>
      <c r="K212" s="14">
        <f t="shared" si="83"/>
        <v>555</v>
      </c>
      <c r="L212" s="15">
        <v>2</v>
      </c>
      <c r="M212" s="12">
        <v>2.8181818181818183</v>
      </c>
      <c r="N212" s="12">
        <f t="shared" si="84"/>
        <v>2.8181818181818183</v>
      </c>
      <c r="O212" s="13">
        <v>4</v>
      </c>
      <c r="P212" s="16">
        <f t="shared" si="80"/>
        <v>4</v>
      </c>
      <c r="Q212" s="15">
        <f t="shared" si="85"/>
        <v>102.09090909090901</v>
      </c>
      <c r="R212" s="12">
        <f t="shared" si="86"/>
        <v>42.090909090909008</v>
      </c>
      <c r="S212" s="12">
        <f t="shared" si="87"/>
        <v>1.1818181818181817</v>
      </c>
      <c r="T212" s="12">
        <f t="shared" si="88"/>
        <v>1.1818181818181817</v>
      </c>
      <c r="U212" s="17">
        <f t="shared" si="89"/>
        <v>0.1990428925912795</v>
      </c>
      <c r="V212" s="17">
        <f t="shared" si="90"/>
        <v>8.2063098192130202E-2</v>
      </c>
      <c r="W212" s="17">
        <f t="shared" si="91"/>
        <v>0.41935483870967727</v>
      </c>
      <c r="X212" s="17">
        <f t="shared" si="92"/>
        <v>0.41935483870967727</v>
      </c>
      <c r="Y212" s="18">
        <f>+IFERROR(VLOOKUP(A212,[1]Hoja1!$A:$B,2,0),0)</f>
        <v>54</v>
      </c>
      <c r="Z212" s="18">
        <f>+IFERROR(VLOOKUP(A212,[1]Hoja1!$D:$E,2,0),0)</f>
        <v>1</v>
      </c>
      <c r="AA212" s="18">
        <f t="shared" si="93"/>
        <v>152</v>
      </c>
      <c r="AB212" s="18">
        <f t="shared" si="93"/>
        <v>3</v>
      </c>
      <c r="AC212">
        <f t="shared" si="94"/>
        <v>0</v>
      </c>
      <c r="AD212">
        <f t="shared" si="95"/>
        <v>0</v>
      </c>
      <c r="AE212">
        <f t="shared" si="96"/>
        <v>0</v>
      </c>
      <c r="AF212" s="17">
        <f t="shared" si="81"/>
        <v>0.26299212598425198</v>
      </c>
      <c r="AG212" s="17">
        <f t="shared" si="97"/>
        <v>0.24715447154471545</v>
      </c>
      <c r="AH212" s="18">
        <f t="shared" si="98"/>
        <v>290</v>
      </c>
      <c r="AI212" s="18">
        <f t="shared" si="98"/>
        <v>5</v>
      </c>
      <c r="AJ212">
        <f t="shared" si="99"/>
        <v>0</v>
      </c>
      <c r="AK212">
        <f t="shared" si="100"/>
        <v>0</v>
      </c>
      <c r="AL212">
        <f t="shared" si="101"/>
        <v>0</v>
      </c>
      <c r="AM212" s="17">
        <f t="shared" si="102"/>
        <v>0.26033057851239672</v>
      </c>
      <c r="AN212" s="17">
        <f t="shared" si="103"/>
        <v>0.24786324786324787</v>
      </c>
      <c r="AO212" s="18" t="str">
        <f>+IFERROR(VLOOKUP(A212,[2]Rank!$B:$E,4,0),"No Ganador")</f>
        <v>No Ganador</v>
      </c>
      <c r="AP212" s="18">
        <f>+VLOOKUP(D212,[2]Departamento!$A$1:$B$16,2,0)</f>
        <v>1</v>
      </c>
      <c r="AQ212">
        <f t="shared" si="104"/>
        <v>0</v>
      </c>
    </row>
  </sheetData>
  <conditionalFormatting sqref="A2">
    <cfRule type="duplicateValues" dxfId="8" priority="9"/>
  </conditionalFormatting>
  <conditionalFormatting sqref="A5">
    <cfRule type="duplicateValues" dxfId="7" priority="1"/>
    <cfRule type="duplicateValues" dxfId="6" priority="2"/>
  </conditionalFormatting>
  <conditionalFormatting sqref="A6">
    <cfRule type="duplicateValues" dxfId="5" priority="4"/>
  </conditionalFormatting>
  <conditionalFormatting sqref="A6:A212 A1:A4">
    <cfRule type="duplicateValues" dxfId="4" priority="8"/>
  </conditionalFormatting>
  <conditionalFormatting sqref="A28">
    <cfRule type="duplicateValues" dxfId="3" priority="3"/>
  </conditionalFormatting>
  <conditionalFormatting sqref="B2:B212 A7:A27 A3:A4 A1:B1 A29:A212">
    <cfRule type="duplicateValues" dxfId="2" priority="7"/>
  </conditionalFormatting>
  <conditionalFormatting sqref="Q2:R212">
    <cfRule type="cellIs" dxfId="1" priority="6" operator="lessThanOrEqual">
      <formula>-100</formula>
    </cfRule>
  </conditionalFormatting>
  <conditionalFormatting sqref="U2:X212">
    <cfRule type="cellIs" dxfId="0" priority="5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Peña Andagua</dc:creator>
  <cp:lastModifiedBy>Hector Peña Andagua</cp:lastModifiedBy>
  <dcterms:created xsi:type="dcterms:W3CDTF">2026-01-14T23:58:50Z</dcterms:created>
  <dcterms:modified xsi:type="dcterms:W3CDTF">2026-01-15T00:00:06Z</dcterms:modified>
</cp:coreProperties>
</file>